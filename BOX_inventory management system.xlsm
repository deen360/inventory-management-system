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240" yWindow="135" windowWidth="21075" windowHeight="12090" tabRatio="780"/>
  </bookViews>
  <sheets>
    <sheet name="start_page" sheetId="13" r:id="rId1"/>
    <sheet name="box_tracking" sheetId="3" state="hidden" r:id="rId2"/>
    <sheet name="box_price" sheetId="2" state="hidden" r:id="rId3"/>
    <sheet name="customer" sheetId="4" state="hidden" r:id="rId4"/>
    <sheet name="report" sheetId="1" state="hidden" r:id="rId5"/>
    <sheet name="box_search_display" sheetId="5" state="hidden" r:id="rId6"/>
    <sheet name="ranking_disp" sheetId="10" state="hidden" r:id="rId7"/>
    <sheet name="Customer_display" sheetId="6" state="hidden" r:id="rId8"/>
  </sheets>
  <definedNames>
    <definedName name="_xlnm._FilterDatabase" localSheetId="1" hidden="1">box_tracking!$A$1:$M$29</definedName>
    <definedName name="_xlnm._FilterDatabase" localSheetId="7" hidden="1">Customer_display!$A$1:$M$7</definedName>
  </definedNames>
  <calcPr calcId="162913"/>
</workbook>
</file>

<file path=xl/calcChain.xml><?xml version="1.0" encoding="utf-8"?>
<calcChain xmlns="http://schemas.openxmlformats.org/spreadsheetml/2006/main">
  <c r="C4" i="1" l="1"/>
  <c r="N2" i="1" l="1"/>
  <c r="O1" i="1"/>
  <c r="O2" i="1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3" i="4"/>
  <c r="D4" i="4"/>
  <c r="D5" i="4"/>
  <c r="D6" i="4"/>
  <c r="D7" i="4"/>
  <c r="D8" i="4"/>
  <c r="D9" i="4"/>
  <c r="D10" i="4"/>
  <c r="D11" i="4"/>
  <c r="D12" i="4"/>
  <c r="D13" i="4"/>
  <c r="D2" i="4"/>
  <c r="C7" i="1" l="1"/>
  <c r="P2" i="1"/>
  <c r="P1" i="1"/>
  <c r="D2" i="1" l="1"/>
  <c r="E1" i="1"/>
  <c r="F1" i="1" l="1"/>
  <c r="G1" i="1" l="1"/>
  <c r="E2" i="1"/>
  <c r="F2" i="1" l="1"/>
  <c r="H1" i="1"/>
  <c r="G2" i="1" l="1"/>
  <c r="I1" i="1"/>
  <c r="H2" i="1" l="1"/>
  <c r="J1" i="1"/>
  <c r="I2" i="1" l="1"/>
  <c r="K1" i="1"/>
  <c r="J2" i="1" l="1"/>
  <c r="L1" i="1"/>
  <c r="K2" i="1" l="1"/>
  <c r="M1" i="1"/>
  <c r="L2" i="1" l="1"/>
  <c r="N1" i="1"/>
  <c r="M2" i="1" l="1"/>
</calcChain>
</file>

<file path=xl/sharedStrings.xml><?xml version="1.0" encoding="utf-8"?>
<sst xmlns="http://schemas.openxmlformats.org/spreadsheetml/2006/main" count="553" uniqueCount="92">
  <si>
    <t>Serial Number</t>
  </si>
  <si>
    <t>RFID</t>
  </si>
  <si>
    <t xml:space="preserve">cooling Type </t>
  </si>
  <si>
    <t>Model Type</t>
  </si>
  <si>
    <t>Model 5</t>
  </si>
  <si>
    <t>Model 3</t>
  </si>
  <si>
    <t>Model 1</t>
  </si>
  <si>
    <t>Model 2</t>
  </si>
  <si>
    <t>No cooling</t>
  </si>
  <si>
    <t xml:space="preserve">Box size </t>
  </si>
  <si>
    <t xml:space="preserve">Box price </t>
  </si>
  <si>
    <t>Size S</t>
  </si>
  <si>
    <t xml:space="preserve"> Size L</t>
  </si>
  <si>
    <t>Size XL</t>
  </si>
  <si>
    <t>Model 4</t>
  </si>
  <si>
    <t>Size L</t>
  </si>
  <si>
    <t>Cooling</t>
  </si>
  <si>
    <t>size XL</t>
  </si>
  <si>
    <t>D010</t>
  </si>
  <si>
    <t>D011</t>
  </si>
  <si>
    <t>D012</t>
  </si>
  <si>
    <t>E013</t>
  </si>
  <si>
    <t>E014</t>
  </si>
  <si>
    <t>E015</t>
  </si>
  <si>
    <t>A001</t>
  </si>
  <si>
    <t>A002</t>
  </si>
  <si>
    <t>A003</t>
  </si>
  <si>
    <t>B004</t>
  </si>
  <si>
    <t>B005</t>
  </si>
  <si>
    <t>B006</t>
  </si>
  <si>
    <t>C007</t>
  </si>
  <si>
    <t>C008</t>
  </si>
  <si>
    <t>C009</t>
  </si>
  <si>
    <t>Availability</t>
  </si>
  <si>
    <t>Date</t>
  </si>
  <si>
    <t xml:space="preserve">Customer id </t>
  </si>
  <si>
    <t>Customer Name</t>
  </si>
  <si>
    <t xml:space="preserve">Serial number </t>
  </si>
  <si>
    <t xml:space="preserve">Monkey Enterprise </t>
  </si>
  <si>
    <t>CST1101</t>
  </si>
  <si>
    <t xml:space="preserve">junior plc </t>
  </si>
  <si>
    <t>CST1102</t>
  </si>
  <si>
    <t>Ecole central company</t>
  </si>
  <si>
    <t>CST1103</t>
  </si>
  <si>
    <t>B016</t>
  </si>
  <si>
    <t xml:space="preserve">centrale revolte </t>
  </si>
  <si>
    <t>CST1104</t>
  </si>
  <si>
    <t>Serial No</t>
  </si>
  <si>
    <t>Sent</t>
  </si>
  <si>
    <t>Available</t>
  </si>
  <si>
    <t>No-customer</t>
  </si>
  <si>
    <t>cost</t>
  </si>
  <si>
    <t>model</t>
  </si>
  <si>
    <t>size</t>
  </si>
  <si>
    <t>cooling</t>
  </si>
  <si>
    <t>Start date</t>
  </si>
  <si>
    <t>End date</t>
  </si>
  <si>
    <t>customer cost</t>
  </si>
  <si>
    <t>company PROFIT</t>
  </si>
  <si>
    <t>kellogs entepise</t>
  </si>
  <si>
    <t>CST1105</t>
  </si>
  <si>
    <t>E017</t>
  </si>
  <si>
    <t>E018</t>
  </si>
  <si>
    <t>Nobtrove plc</t>
  </si>
  <si>
    <t>CST1106</t>
  </si>
  <si>
    <t>Cleaning</t>
  </si>
  <si>
    <t>CST1107</t>
  </si>
  <si>
    <t>money</t>
  </si>
  <si>
    <t xml:space="preserve">hover fc </t>
  </si>
  <si>
    <t>CST1108</t>
  </si>
  <si>
    <t xml:space="preserve">Amount for period </t>
  </si>
  <si>
    <t>E019</t>
  </si>
  <si>
    <t>D020</t>
  </si>
  <si>
    <t xml:space="preserve">nollywood enterprise </t>
  </si>
  <si>
    <t>CST1109</t>
  </si>
  <si>
    <t>Out-of-service</t>
  </si>
  <si>
    <t xml:space="preserve">Notes </t>
  </si>
  <si>
    <t>Month of interest should be selected</t>
  </si>
  <si>
    <t>Broken</t>
  </si>
  <si>
    <t>A021</t>
  </si>
  <si>
    <t>B022</t>
  </si>
  <si>
    <t>D023</t>
  </si>
  <si>
    <t>D024</t>
  </si>
  <si>
    <t>C025</t>
  </si>
  <si>
    <t>D026</t>
  </si>
  <si>
    <t>B027</t>
  </si>
  <si>
    <t>A028</t>
  </si>
  <si>
    <t>C029</t>
  </si>
  <si>
    <t>C030</t>
  </si>
  <si>
    <t xml:space="preserve">To update assigned box, double click on the desired box in the listbox </t>
  </si>
  <si>
    <t>Boxes have to be assigned after creation with add button</t>
  </si>
  <si>
    <t>Customer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</si>
</sst>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_([$€-2]\ * #,##0.00_);_([$€-2]\ * \(#,##0.00\);_([$€-2]\ * &quot;-&quot;??_);_(@_)"/>
    <numFmt numFmtId="165" formatCode="&quot;$&quot;#,##0.00"/>
    <numFmt numFmtId="166" formatCode="[$-409]d\-mmm\-yy;@"/>
    <numFmt numFmtId="167" formatCode="_([$€-2]\ * #,##0_);_([$€-2]\ * \(#,##0\);_([$€-2]\ 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4">
    <xf numFmtId="0" fontId="0" fillId="0" borderId="0" xfId="0"/>
    <xf numFmtId="9" fontId="0" fillId="0" borderId="0" xfId="1" applyFont="1"/>
    <xf numFmtId="9" fontId="1" fillId="0" borderId="0" xfId="1" applyFont="1" applyAlignment="1">
      <alignment horizontal="center"/>
    </xf>
    <xf numFmtId="9" fontId="0" fillId="0" borderId="0" xfId="1" applyFont="1" applyAlignment="1">
      <alignment horizontal="center"/>
    </xf>
    <xf numFmtId="0" fontId="1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164" fontId="1" fillId="0" borderId="0" xfId="1" applyNumberFormat="1" applyFont="1" applyAlignment="1">
      <alignment horizontal="center"/>
    </xf>
    <xf numFmtId="164" fontId="0" fillId="0" borderId="0" xfId="1" applyNumberFormat="1" applyFont="1" applyAlignment="1">
      <alignment horizontal="center"/>
    </xf>
    <xf numFmtId="15" fontId="0" fillId="0" borderId="0" xfId="0" applyNumberFormat="1"/>
    <xf numFmtId="1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5" fontId="1" fillId="0" borderId="0" xfId="0" applyNumberFormat="1" applyFont="1" applyAlignment="1">
      <alignment horizontal="center"/>
    </xf>
    <xf numFmtId="15" fontId="1" fillId="0" borderId="0" xfId="0" applyNumberFormat="1" applyFont="1"/>
    <xf numFmtId="164" fontId="1" fillId="0" borderId="0" xfId="0" applyNumberFormat="1" applyFont="1"/>
    <xf numFmtId="165" fontId="1" fillId="0" borderId="0" xfId="0" applyNumberFormat="1" applyFont="1"/>
    <xf numFmtId="167" fontId="0" fillId="0" borderId="0" xfId="0" applyNumberFormat="1"/>
    <xf numFmtId="0" fontId="0" fillId="0" borderId="0" xfId="0" applyAlignment="1"/>
    <xf numFmtId="0" fontId="0" fillId="0" borderId="1" xfId="0" applyBorder="1" applyAlignment="1">
      <alignment horizontal="left"/>
    </xf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1" xfId="0" applyBorder="1" applyAlignment="1">
      <alignment horizontal="left"/>
    </xf>
    <xf numFmtId="0" fontId="4" fillId="0" borderId="8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3</xdr:row>
          <xdr:rowOff>142875</xdr:rowOff>
        </xdr:from>
        <xdr:to>
          <xdr:col>14</xdr:col>
          <xdr:colOff>600075</xdr:colOff>
          <xdr:row>9</xdr:row>
          <xdr:rowOff>133350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COMPANY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85725</xdr:rowOff>
        </xdr:from>
        <xdr:to>
          <xdr:col>8</xdr:col>
          <xdr:colOff>57150</xdr:colOff>
          <xdr:row>9</xdr:row>
          <xdr:rowOff>76200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13:M17"/>
  <sheetViews>
    <sheetView tabSelected="1" zoomScale="85" zoomScaleNormal="85" workbookViewId="0">
      <selection activeCell="F26" sqref="F26"/>
    </sheetView>
  </sheetViews>
  <sheetFormatPr defaultRowHeight="15" x14ac:dyDescent="0.25"/>
  <sheetData>
    <row r="13" spans="3:13" ht="15.75" thickBot="1" x14ac:dyDescent="0.3"/>
    <row r="14" spans="3:13" ht="19.5" thickBot="1" x14ac:dyDescent="0.35">
      <c r="C14" s="22"/>
      <c r="D14" s="28" t="s">
        <v>76</v>
      </c>
      <c r="E14" s="29"/>
      <c r="F14" s="29"/>
      <c r="G14" s="29"/>
      <c r="H14" s="29"/>
      <c r="I14" s="29"/>
      <c r="J14" s="29"/>
      <c r="K14" s="29"/>
      <c r="L14" s="29"/>
      <c r="M14" s="30"/>
    </row>
    <row r="15" spans="3:13" x14ac:dyDescent="0.25">
      <c r="D15" s="31" t="s">
        <v>77</v>
      </c>
      <c r="E15" s="32"/>
      <c r="F15" s="32"/>
      <c r="G15" s="32"/>
      <c r="H15" s="32"/>
      <c r="I15" s="32"/>
      <c r="J15" s="32"/>
      <c r="K15" s="32"/>
      <c r="L15" s="32"/>
      <c r="M15" s="33"/>
    </row>
    <row r="16" spans="3:13" x14ac:dyDescent="0.25">
      <c r="D16" s="27" t="s">
        <v>90</v>
      </c>
      <c r="E16" s="27"/>
      <c r="F16" s="27"/>
      <c r="G16" s="27"/>
      <c r="H16" s="27"/>
      <c r="I16" s="27"/>
      <c r="J16" s="27"/>
      <c r="K16" s="27"/>
      <c r="L16" s="27"/>
      <c r="M16" s="27"/>
    </row>
    <row r="17" spans="4:13" x14ac:dyDescent="0.25">
      <c r="D17" s="23" t="s">
        <v>89</v>
      </c>
      <c r="E17" s="23"/>
      <c r="F17" s="23"/>
      <c r="G17" s="23"/>
      <c r="H17" s="23"/>
      <c r="I17" s="23"/>
      <c r="J17" s="24"/>
      <c r="K17" s="25"/>
      <c r="L17" s="25"/>
      <c r="M17" s="26"/>
    </row>
  </sheetData>
  <mergeCells count="3">
    <mergeCell ref="D16:M16"/>
    <mergeCell ref="D14:M14"/>
    <mergeCell ref="D15:M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company_dashboard">
                <anchor moveWithCells="1">
                  <from>
                    <xdr:col>10</xdr:col>
                    <xdr:colOff>533400</xdr:colOff>
                    <xdr:row>3</xdr:row>
                    <xdr:rowOff>142875</xdr:rowOff>
                  </from>
                  <to>
                    <xdr:col>14</xdr:col>
                    <xdr:colOff>600075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customer_dashboard">
                <anchor moveWithCells="1">
                  <from>
                    <xdr:col>3</xdr:col>
                    <xdr:colOff>600075</xdr:colOff>
                    <xdr:row>3</xdr:row>
                    <xdr:rowOff>85725</xdr:rowOff>
                  </from>
                  <to>
                    <xdr:col>8</xdr:col>
                    <xdr:colOff>57150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9"/>
  <sheetViews>
    <sheetView workbookViewId="0">
      <selection activeCell="I13" sqref="I13"/>
    </sheetView>
  </sheetViews>
  <sheetFormatPr defaultRowHeight="15" x14ac:dyDescent="0.25"/>
  <cols>
    <col min="1" max="1" width="9.140625" style="10"/>
    <col min="2" max="2" width="10" style="10" customWidth="1"/>
    <col min="3" max="3" width="14" bestFit="1" customWidth="1"/>
    <col min="4" max="4" width="23.85546875" bestFit="1" customWidth="1"/>
    <col min="5" max="5" width="10.140625" style="9" bestFit="1" customWidth="1"/>
    <col min="6" max="6" width="10.140625" style="8" bestFit="1" customWidth="1"/>
    <col min="7" max="7" width="9.5703125" style="13" bestFit="1" customWidth="1"/>
    <col min="8" max="8" width="8.42578125" style="13" bestFit="1" customWidth="1"/>
    <col min="9" max="9" width="11.85546875" style="13" bestFit="1" customWidth="1"/>
    <col min="10" max="10" width="8.42578125" style="13" bestFit="1" customWidth="1"/>
    <col min="11" max="11" width="9.140625" style="12"/>
    <col min="12" max="12" width="13.28515625" customWidth="1"/>
    <col min="13" max="13" width="9.140625" style="13"/>
  </cols>
  <sheetData>
    <row r="1" spans="1:13" x14ac:dyDescent="0.25">
      <c r="A1" s="16" t="s">
        <v>47</v>
      </c>
      <c r="B1" s="16" t="s">
        <v>1</v>
      </c>
      <c r="C1" s="15" t="s">
        <v>33</v>
      </c>
      <c r="D1" s="15" t="s">
        <v>91</v>
      </c>
      <c r="E1" s="17" t="s">
        <v>34</v>
      </c>
      <c r="F1" s="18"/>
      <c r="G1" s="19" t="s">
        <v>52</v>
      </c>
      <c r="H1" s="19" t="s">
        <v>53</v>
      </c>
      <c r="I1" s="19" t="s">
        <v>54</v>
      </c>
      <c r="J1" s="19" t="s">
        <v>51</v>
      </c>
      <c r="K1" s="20"/>
    </row>
    <row r="2" spans="1:13" x14ac:dyDescent="0.25">
      <c r="A2" s="10">
        <v>1</v>
      </c>
      <c r="B2" s="10" t="s">
        <v>24</v>
      </c>
      <c r="C2" t="s">
        <v>49</v>
      </c>
      <c r="D2" t="s">
        <v>50</v>
      </c>
      <c r="E2" s="9">
        <v>44535</v>
      </c>
      <c r="G2" s="13" t="s">
        <v>6</v>
      </c>
      <c r="H2" s="13" t="s">
        <v>11</v>
      </c>
      <c r="I2" s="13" t="s">
        <v>8</v>
      </c>
      <c r="J2" s="13">
        <v>10</v>
      </c>
      <c r="M2"/>
    </row>
    <row r="3" spans="1:13" x14ac:dyDescent="0.25">
      <c r="A3" s="10">
        <v>2</v>
      </c>
      <c r="B3" s="10" t="s">
        <v>25</v>
      </c>
      <c r="C3" t="s">
        <v>65</v>
      </c>
      <c r="D3" t="s">
        <v>50</v>
      </c>
      <c r="E3" s="9">
        <v>44201</v>
      </c>
      <c r="G3" s="13" t="s">
        <v>6</v>
      </c>
      <c r="H3" s="13" t="s">
        <v>11</v>
      </c>
      <c r="I3" s="13" t="s">
        <v>8</v>
      </c>
      <c r="J3" s="13">
        <v>10</v>
      </c>
      <c r="M3"/>
    </row>
    <row r="4" spans="1:13" x14ac:dyDescent="0.25">
      <c r="A4" s="10">
        <v>3</v>
      </c>
      <c r="B4" s="10" t="s">
        <v>26</v>
      </c>
      <c r="C4" t="s">
        <v>48</v>
      </c>
      <c r="D4" t="s">
        <v>64</v>
      </c>
      <c r="E4" s="9">
        <v>44326</v>
      </c>
      <c r="G4" s="13" t="s">
        <v>6</v>
      </c>
      <c r="H4" s="13" t="s">
        <v>11</v>
      </c>
      <c r="I4" s="13" t="s">
        <v>8</v>
      </c>
      <c r="J4" s="13">
        <v>10</v>
      </c>
      <c r="M4"/>
    </row>
    <row r="5" spans="1:13" x14ac:dyDescent="0.25">
      <c r="A5" s="10">
        <v>4</v>
      </c>
      <c r="B5" s="10" t="s">
        <v>27</v>
      </c>
      <c r="C5" t="s">
        <v>49</v>
      </c>
      <c r="D5" t="s">
        <v>50</v>
      </c>
      <c r="E5" s="9">
        <v>44346</v>
      </c>
      <c r="G5" s="13" t="s">
        <v>7</v>
      </c>
      <c r="H5" s="13" t="s">
        <v>12</v>
      </c>
      <c r="I5" s="13" t="s">
        <v>8</v>
      </c>
      <c r="J5" s="13">
        <v>15</v>
      </c>
      <c r="M5"/>
    </row>
    <row r="6" spans="1:13" x14ac:dyDescent="0.25">
      <c r="A6" s="10">
        <v>5</v>
      </c>
      <c r="B6" s="10" t="s">
        <v>28</v>
      </c>
      <c r="C6" t="s">
        <v>48</v>
      </c>
      <c r="D6" t="s">
        <v>41</v>
      </c>
      <c r="E6" s="9">
        <v>44521</v>
      </c>
      <c r="G6" s="13" t="s">
        <v>7</v>
      </c>
      <c r="H6" s="13" t="s">
        <v>12</v>
      </c>
      <c r="I6" s="13" t="s">
        <v>8</v>
      </c>
      <c r="J6" s="13">
        <v>15</v>
      </c>
      <c r="M6"/>
    </row>
    <row r="7" spans="1:13" x14ac:dyDescent="0.25">
      <c r="A7" s="10">
        <v>6</v>
      </c>
      <c r="B7" s="10" t="s">
        <v>29</v>
      </c>
      <c r="C7" t="s">
        <v>48</v>
      </c>
      <c r="D7" t="s">
        <v>60</v>
      </c>
      <c r="E7" s="9">
        <v>44506</v>
      </c>
      <c r="G7" s="13" t="s">
        <v>7</v>
      </c>
      <c r="H7" s="13" t="s">
        <v>12</v>
      </c>
      <c r="I7" s="13" t="s">
        <v>8</v>
      </c>
      <c r="J7" s="13">
        <v>15</v>
      </c>
      <c r="M7"/>
    </row>
    <row r="8" spans="1:13" x14ac:dyDescent="0.25">
      <c r="A8" s="10">
        <v>7</v>
      </c>
      <c r="B8" s="10" t="s">
        <v>31</v>
      </c>
      <c r="C8" t="s">
        <v>75</v>
      </c>
      <c r="D8" t="s">
        <v>50</v>
      </c>
      <c r="E8" s="9">
        <v>44360</v>
      </c>
      <c r="G8" s="13" t="s">
        <v>5</v>
      </c>
      <c r="H8" s="13" t="s">
        <v>13</v>
      </c>
      <c r="I8" s="13" t="s">
        <v>8</v>
      </c>
      <c r="J8" s="13">
        <v>20</v>
      </c>
      <c r="M8"/>
    </row>
    <row r="9" spans="1:13" x14ac:dyDescent="0.25">
      <c r="A9" s="10">
        <v>8</v>
      </c>
      <c r="B9" s="10" t="s">
        <v>32</v>
      </c>
      <c r="C9" t="s">
        <v>48</v>
      </c>
      <c r="D9" t="s">
        <v>66</v>
      </c>
      <c r="E9" s="9">
        <v>44495</v>
      </c>
      <c r="G9" s="13" t="s">
        <v>5</v>
      </c>
      <c r="H9" s="13" t="s">
        <v>13</v>
      </c>
      <c r="I9" s="13" t="s">
        <v>8</v>
      </c>
      <c r="J9" s="13">
        <v>20</v>
      </c>
    </row>
    <row r="10" spans="1:13" x14ac:dyDescent="0.25">
      <c r="A10" s="10">
        <v>9</v>
      </c>
      <c r="B10" s="10" t="s">
        <v>44</v>
      </c>
      <c r="C10" t="s">
        <v>48</v>
      </c>
      <c r="D10" t="s">
        <v>46</v>
      </c>
      <c r="E10" s="9">
        <v>44344</v>
      </c>
      <c r="G10" s="13" t="s">
        <v>7</v>
      </c>
      <c r="H10" s="13" t="s">
        <v>12</v>
      </c>
      <c r="I10" s="13" t="s">
        <v>8</v>
      </c>
      <c r="J10" s="13">
        <v>15</v>
      </c>
      <c r="M10"/>
    </row>
    <row r="11" spans="1:13" x14ac:dyDescent="0.25">
      <c r="A11" s="10">
        <v>10</v>
      </c>
      <c r="B11" s="10" t="s">
        <v>22</v>
      </c>
      <c r="C11" t="s">
        <v>78</v>
      </c>
      <c r="D11" t="s">
        <v>50</v>
      </c>
      <c r="E11" s="9">
        <v>44326</v>
      </c>
      <c r="G11" s="13" t="s">
        <v>4</v>
      </c>
      <c r="H11" s="13" t="s">
        <v>17</v>
      </c>
      <c r="I11" s="13" t="s">
        <v>16</v>
      </c>
      <c r="J11" s="13">
        <v>30</v>
      </c>
    </row>
    <row r="12" spans="1:13" x14ac:dyDescent="0.25">
      <c r="A12" s="10">
        <v>11</v>
      </c>
      <c r="B12" s="10" t="s">
        <v>20</v>
      </c>
      <c r="C12" t="s">
        <v>48</v>
      </c>
      <c r="D12" t="s">
        <v>41</v>
      </c>
      <c r="E12" s="9">
        <v>44420</v>
      </c>
      <c r="G12" s="13" t="s">
        <v>14</v>
      </c>
      <c r="H12" s="13" t="s">
        <v>15</v>
      </c>
      <c r="I12" s="13" t="s">
        <v>16</v>
      </c>
      <c r="J12" s="13">
        <v>20</v>
      </c>
      <c r="M12"/>
    </row>
    <row r="13" spans="1:13" x14ac:dyDescent="0.25">
      <c r="A13" s="10">
        <v>12</v>
      </c>
      <c r="B13" s="10" t="s">
        <v>23</v>
      </c>
      <c r="C13" t="s">
        <v>48</v>
      </c>
      <c r="D13" t="s">
        <v>43</v>
      </c>
      <c r="E13" s="9">
        <v>44391</v>
      </c>
      <c r="G13" s="13" t="s">
        <v>4</v>
      </c>
      <c r="H13" s="13" t="s">
        <v>17</v>
      </c>
      <c r="I13" s="13" t="s">
        <v>16</v>
      </c>
      <c r="J13" s="13">
        <v>30</v>
      </c>
    </row>
    <row r="14" spans="1:13" x14ac:dyDescent="0.25">
      <c r="A14" s="10">
        <v>13</v>
      </c>
      <c r="B14" s="10" t="s">
        <v>21</v>
      </c>
      <c r="C14" t="s">
        <v>48</v>
      </c>
      <c r="D14" t="s">
        <v>39</v>
      </c>
      <c r="E14" s="9">
        <v>44218</v>
      </c>
      <c r="G14" s="13" t="s">
        <v>4</v>
      </c>
      <c r="H14" s="13" t="s">
        <v>17</v>
      </c>
      <c r="I14" s="13" t="s">
        <v>16</v>
      </c>
      <c r="J14" s="13">
        <v>30</v>
      </c>
      <c r="M14"/>
    </row>
    <row r="15" spans="1:13" x14ac:dyDescent="0.25">
      <c r="A15" s="10">
        <v>14</v>
      </c>
      <c r="B15" s="10" t="s">
        <v>62</v>
      </c>
      <c r="C15" t="s">
        <v>48</v>
      </c>
      <c r="D15" t="s">
        <v>60</v>
      </c>
      <c r="E15" s="9">
        <v>44366</v>
      </c>
      <c r="G15" s="13" t="s">
        <v>4</v>
      </c>
      <c r="H15" s="13" t="s">
        <v>17</v>
      </c>
      <c r="I15" s="13" t="s">
        <v>16</v>
      </c>
      <c r="J15" s="13">
        <v>30</v>
      </c>
    </row>
    <row r="16" spans="1:13" x14ac:dyDescent="0.25">
      <c r="A16" s="10">
        <v>15</v>
      </c>
      <c r="B16" s="10" t="s">
        <v>61</v>
      </c>
      <c r="C16" t="s">
        <v>48</v>
      </c>
      <c r="D16" t="s">
        <v>60</v>
      </c>
      <c r="E16" s="9">
        <v>44284</v>
      </c>
      <c r="G16" s="13" t="s">
        <v>4</v>
      </c>
      <c r="H16" s="13" t="s">
        <v>17</v>
      </c>
      <c r="I16" s="13" t="s">
        <v>16</v>
      </c>
      <c r="J16" s="13">
        <v>30</v>
      </c>
    </row>
    <row r="17" spans="1:10" x14ac:dyDescent="0.25">
      <c r="A17" s="10">
        <v>16</v>
      </c>
      <c r="B17" s="10" t="s">
        <v>30</v>
      </c>
      <c r="C17" t="s">
        <v>65</v>
      </c>
      <c r="D17" t="s">
        <v>50</v>
      </c>
      <c r="E17" s="9">
        <v>44278</v>
      </c>
      <c r="G17" s="13" t="s">
        <v>5</v>
      </c>
      <c r="H17" s="13" t="s">
        <v>13</v>
      </c>
      <c r="I17" s="13" t="s">
        <v>8</v>
      </c>
      <c r="J17" s="13">
        <v>20</v>
      </c>
    </row>
    <row r="18" spans="1:10" x14ac:dyDescent="0.25">
      <c r="A18" s="10">
        <v>17</v>
      </c>
      <c r="B18" s="10" t="s">
        <v>18</v>
      </c>
      <c r="C18" t="s">
        <v>48</v>
      </c>
      <c r="D18" t="s">
        <v>41</v>
      </c>
      <c r="E18" s="9">
        <v>44442</v>
      </c>
      <c r="G18" s="13" t="s">
        <v>14</v>
      </c>
      <c r="H18" s="13" t="s">
        <v>15</v>
      </c>
      <c r="I18" s="13" t="s">
        <v>16</v>
      </c>
      <c r="J18" s="13">
        <v>20</v>
      </c>
    </row>
    <row r="19" spans="1:10" x14ac:dyDescent="0.25">
      <c r="A19" s="10">
        <v>18</v>
      </c>
      <c r="B19" s="10" t="s">
        <v>19</v>
      </c>
      <c r="C19" t="s">
        <v>49</v>
      </c>
      <c r="D19" t="s">
        <v>50</v>
      </c>
      <c r="E19" s="9">
        <v>44320</v>
      </c>
      <c r="G19" s="13" t="s">
        <v>14</v>
      </c>
      <c r="H19" s="13" t="s">
        <v>15</v>
      </c>
      <c r="I19" s="13" t="s">
        <v>16</v>
      </c>
      <c r="J19" s="13">
        <v>20</v>
      </c>
    </row>
    <row r="20" spans="1:10" x14ac:dyDescent="0.25">
      <c r="A20" s="10">
        <v>19</v>
      </c>
      <c r="B20" s="10" t="s">
        <v>88</v>
      </c>
      <c r="C20" t="s">
        <v>48</v>
      </c>
      <c r="D20" t="s">
        <v>60</v>
      </c>
      <c r="E20" s="9">
        <v>44550</v>
      </c>
      <c r="G20" s="13" t="s">
        <v>5</v>
      </c>
      <c r="H20" s="13" t="s">
        <v>13</v>
      </c>
      <c r="I20" s="13" t="s">
        <v>8</v>
      </c>
      <c r="J20" s="13">
        <v>20</v>
      </c>
    </row>
    <row r="21" spans="1:10" x14ac:dyDescent="0.25">
      <c r="A21" s="10">
        <v>20</v>
      </c>
      <c r="B21" s="10" t="s">
        <v>87</v>
      </c>
      <c r="C21" t="s">
        <v>48</v>
      </c>
      <c r="D21" t="s">
        <v>39</v>
      </c>
      <c r="E21" s="9">
        <v>44545</v>
      </c>
      <c r="G21" s="13" t="s">
        <v>5</v>
      </c>
      <c r="H21" s="13" t="s">
        <v>13</v>
      </c>
      <c r="I21" s="13" t="s">
        <v>8</v>
      </c>
      <c r="J21" s="13">
        <v>20</v>
      </c>
    </row>
    <row r="22" spans="1:10" x14ac:dyDescent="0.25">
      <c r="A22" s="10">
        <v>21</v>
      </c>
      <c r="B22" s="10" t="s">
        <v>86</v>
      </c>
      <c r="C22" t="s">
        <v>48</v>
      </c>
      <c r="D22" t="s">
        <v>64</v>
      </c>
      <c r="E22" s="9">
        <v>44532</v>
      </c>
      <c r="G22" s="13" t="s">
        <v>6</v>
      </c>
      <c r="H22" s="13" t="s">
        <v>11</v>
      </c>
      <c r="I22" s="13" t="s">
        <v>8</v>
      </c>
      <c r="J22" s="13">
        <v>10</v>
      </c>
    </row>
    <row r="23" spans="1:10" x14ac:dyDescent="0.25">
      <c r="A23" s="10">
        <v>22</v>
      </c>
      <c r="B23" s="10" t="s">
        <v>85</v>
      </c>
      <c r="C23" t="s">
        <v>48</v>
      </c>
      <c r="D23" t="s">
        <v>74</v>
      </c>
      <c r="E23" s="9">
        <v>44538</v>
      </c>
      <c r="G23" s="13" t="s">
        <v>7</v>
      </c>
      <c r="H23" s="13" t="s">
        <v>12</v>
      </c>
      <c r="I23" s="13" t="s">
        <v>8</v>
      </c>
      <c r="J23" s="13">
        <v>15</v>
      </c>
    </row>
    <row r="24" spans="1:10" x14ac:dyDescent="0.25">
      <c r="A24" s="10">
        <v>23</v>
      </c>
      <c r="B24" s="10" t="s">
        <v>83</v>
      </c>
      <c r="C24" t="s">
        <v>48</v>
      </c>
      <c r="D24" t="s">
        <v>39</v>
      </c>
      <c r="E24" s="9">
        <v>44475</v>
      </c>
      <c r="G24" s="13" t="s">
        <v>5</v>
      </c>
      <c r="H24" s="13" t="s">
        <v>13</v>
      </c>
      <c r="I24" s="13" t="s">
        <v>8</v>
      </c>
      <c r="J24" s="13">
        <v>20</v>
      </c>
    </row>
    <row r="25" spans="1:10" x14ac:dyDescent="0.25">
      <c r="A25" s="10">
        <v>24</v>
      </c>
      <c r="B25" s="10" t="s">
        <v>84</v>
      </c>
      <c r="C25" t="s">
        <v>48</v>
      </c>
      <c r="D25" t="s">
        <v>64</v>
      </c>
      <c r="E25" s="9">
        <v>44560</v>
      </c>
      <c r="G25" s="13" t="s">
        <v>14</v>
      </c>
      <c r="H25" s="13" t="s">
        <v>15</v>
      </c>
      <c r="I25" s="13" t="s">
        <v>16</v>
      </c>
      <c r="J25" s="13">
        <v>20</v>
      </c>
    </row>
    <row r="26" spans="1:10" x14ac:dyDescent="0.25">
      <c r="A26" s="10">
        <v>25</v>
      </c>
      <c r="B26" s="10" t="s">
        <v>81</v>
      </c>
      <c r="C26" t="s">
        <v>48</v>
      </c>
      <c r="D26" t="s">
        <v>69</v>
      </c>
      <c r="E26" s="9">
        <v>44474</v>
      </c>
      <c r="G26" s="13" t="s">
        <v>14</v>
      </c>
      <c r="H26" s="13" t="s">
        <v>15</v>
      </c>
      <c r="I26" s="13" t="s">
        <v>16</v>
      </c>
      <c r="J26" s="13">
        <v>20</v>
      </c>
    </row>
    <row r="27" spans="1:10" x14ac:dyDescent="0.25">
      <c r="A27" s="10">
        <v>26</v>
      </c>
      <c r="B27" s="10" t="s">
        <v>82</v>
      </c>
      <c r="C27" t="s">
        <v>48</v>
      </c>
      <c r="D27" t="s">
        <v>43</v>
      </c>
      <c r="E27" s="9">
        <v>44503</v>
      </c>
      <c r="G27" s="13" t="s">
        <v>14</v>
      </c>
      <c r="H27" s="13" t="s">
        <v>15</v>
      </c>
      <c r="I27" s="13" t="s">
        <v>16</v>
      </c>
      <c r="J27" s="13">
        <v>20</v>
      </c>
    </row>
    <row r="28" spans="1:10" x14ac:dyDescent="0.25">
      <c r="A28" s="10">
        <v>27</v>
      </c>
      <c r="B28" s="10" t="s">
        <v>80</v>
      </c>
      <c r="C28" t="s">
        <v>75</v>
      </c>
      <c r="D28" t="s">
        <v>50</v>
      </c>
      <c r="E28" s="9">
        <v>44535</v>
      </c>
      <c r="G28" s="13" t="s">
        <v>7</v>
      </c>
      <c r="H28" s="13" t="s">
        <v>12</v>
      </c>
      <c r="I28" s="13" t="s">
        <v>8</v>
      </c>
      <c r="J28" s="13">
        <v>15</v>
      </c>
    </row>
    <row r="29" spans="1:10" x14ac:dyDescent="0.25">
      <c r="A29" s="10">
        <v>28</v>
      </c>
      <c r="B29" s="10" t="s">
        <v>79</v>
      </c>
      <c r="C29" t="s">
        <v>78</v>
      </c>
      <c r="D29" t="s">
        <v>50</v>
      </c>
      <c r="E29" s="9">
        <v>44539</v>
      </c>
      <c r="G29" s="13" t="s">
        <v>6</v>
      </c>
      <c r="H29" s="13" t="s">
        <v>11</v>
      </c>
      <c r="I29" s="13" t="s">
        <v>8</v>
      </c>
      <c r="J29" s="13">
        <v>10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"/>
  <sheetViews>
    <sheetView workbookViewId="0">
      <selection activeCell="G14" sqref="G14"/>
    </sheetView>
  </sheetViews>
  <sheetFormatPr defaultRowHeight="15" x14ac:dyDescent="0.25"/>
  <cols>
    <col min="1" max="1" width="13.85546875" style="5" bestFit="1" customWidth="1"/>
    <col min="2" max="2" width="17.7109375" style="5" bestFit="1" customWidth="1"/>
    <col min="3" max="3" width="11.42578125" style="3" bestFit="1" customWidth="1"/>
    <col min="4" max="4" width="10.140625" style="3" customWidth="1"/>
    <col min="5" max="5" width="15.7109375" style="7" customWidth="1"/>
    <col min="6" max="6" width="12.5703125" style="1" bestFit="1" customWidth="1"/>
    <col min="7" max="12" width="9.140625" style="1"/>
    <col min="13" max="13" width="10.42578125" style="1" bestFit="1" customWidth="1"/>
    <col min="14" max="16384" width="9.140625" style="1"/>
  </cols>
  <sheetData>
    <row r="1" spans="1:10" x14ac:dyDescent="0.25">
      <c r="A1" s="4" t="s">
        <v>0</v>
      </c>
      <c r="B1" s="4" t="s">
        <v>1</v>
      </c>
      <c r="C1" s="2" t="s">
        <v>3</v>
      </c>
      <c r="D1" s="2" t="s">
        <v>9</v>
      </c>
      <c r="E1" s="6" t="s">
        <v>10</v>
      </c>
      <c r="F1" s="2" t="s">
        <v>2</v>
      </c>
    </row>
    <row r="2" spans="1:10" x14ac:dyDescent="0.25">
      <c r="A2" s="5">
        <v>1</v>
      </c>
      <c r="B2" s="5" t="s">
        <v>24</v>
      </c>
      <c r="C2" s="3" t="s">
        <v>6</v>
      </c>
      <c r="D2" s="3" t="s">
        <v>11</v>
      </c>
      <c r="E2" s="7">
        <v>10</v>
      </c>
      <c r="F2" s="1" t="s">
        <v>8</v>
      </c>
    </row>
    <row r="3" spans="1:10" x14ac:dyDescent="0.25">
      <c r="A3" s="5">
        <v>2</v>
      </c>
      <c r="B3" s="5" t="s">
        <v>25</v>
      </c>
      <c r="C3" s="3" t="s">
        <v>6</v>
      </c>
      <c r="D3" s="3" t="s">
        <v>11</v>
      </c>
      <c r="E3" s="7">
        <v>10</v>
      </c>
      <c r="F3" s="1" t="s">
        <v>8</v>
      </c>
      <c r="J3" s="11"/>
    </row>
    <row r="4" spans="1:10" x14ac:dyDescent="0.25">
      <c r="A4" s="5">
        <v>3</v>
      </c>
      <c r="B4" s="5" t="s">
        <v>26</v>
      </c>
      <c r="C4" s="3" t="s">
        <v>6</v>
      </c>
      <c r="D4" s="3" t="s">
        <v>11</v>
      </c>
      <c r="E4" s="7">
        <v>10</v>
      </c>
      <c r="F4" s="1" t="s">
        <v>8</v>
      </c>
    </row>
    <row r="5" spans="1:10" x14ac:dyDescent="0.25">
      <c r="A5" s="5">
        <v>4</v>
      </c>
      <c r="B5" s="5" t="s">
        <v>27</v>
      </c>
      <c r="C5" s="3" t="s">
        <v>7</v>
      </c>
      <c r="D5" s="3" t="s">
        <v>12</v>
      </c>
      <c r="E5" s="7">
        <v>15</v>
      </c>
      <c r="F5" s="1" t="s">
        <v>8</v>
      </c>
    </row>
    <row r="6" spans="1:10" x14ac:dyDescent="0.25">
      <c r="A6" s="5">
        <v>5</v>
      </c>
      <c r="B6" s="5" t="s">
        <v>28</v>
      </c>
      <c r="C6" s="3" t="s">
        <v>7</v>
      </c>
      <c r="D6" s="3" t="s">
        <v>12</v>
      </c>
      <c r="E6" s="7">
        <v>15</v>
      </c>
      <c r="F6" s="1" t="s">
        <v>8</v>
      </c>
    </row>
    <row r="7" spans="1:10" x14ac:dyDescent="0.25">
      <c r="A7" s="5">
        <v>6</v>
      </c>
      <c r="B7" s="5" t="s">
        <v>29</v>
      </c>
      <c r="C7" s="3" t="s">
        <v>7</v>
      </c>
      <c r="D7" s="3" t="s">
        <v>12</v>
      </c>
      <c r="E7" s="7">
        <v>15</v>
      </c>
      <c r="F7" s="1" t="s">
        <v>8</v>
      </c>
    </row>
    <row r="8" spans="1:10" x14ac:dyDescent="0.25">
      <c r="A8" s="5">
        <v>7</v>
      </c>
      <c r="B8" s="5" t="s">
        <v>30</v>
      </c>
      <c r="C8" s="3" t="s">
        <v>5</v>
      </c>
      <c r="D8" s="3" t="s">
        <v>13</v>
      </c>
      <c r="E8" s="7">
        <v>20</v>
      </c>
      <c r="F8" s="1" t="s">
        <v>8</v>
      </c>
    </row>
    <row r="9" spans="1:10" x14ac:dyDescent="0.25">
      <c r="A9" s="5">
        <v>8</v>
      </c>
      <c r="B9" s="5" t="s">
        <v>31</v>
      </c>
      <c r="C9" s="3" t="s">
        <v>5</v>
      </c>
      <c r="D9" s="3" t="s">
        <v>13</v>
      </c>
      <c r="E9" s="7">
        <v>20</v>
      </c>
      <c r="F9" s="1" t="s">
        <v>8</v>
      </c>
    </row>
    <row r="10" spans="1:10" x14ac:dyDescent="0.25">
      <c r="A10" s="5">
        <v>9</v>
      </c>
      <c r="B10" s="5" t="s">
        <v>32</v>
      </c>
      <c r="C10" s="3" t="s">
        <v>5</v>
      </c>
      <c r="D10" s="3" t="s">
        <v>13</v>
      </c>
      <c r="E10" s="7">
        <v>20</v>
      </c>
      <c r="F10" s="1" t="s">
        <v>8</v>
      </c>
    </row>
    <row r="11" spans="1:10" x14ac:dyDescent="0.25">
      <c r="A11" s="5">
        <v>10</v>
      </c>
      <c r="B11" s="5" t="s">
        <v>18</v>
      </c>
      <c r="C11" s="3" t="s">
        <v>14</v>
      </c>
      <c r="D11" s="3" t="s">
        <v>15</v>
      </c>
      <c r="E11" s="7">
        <v>20</v>
      </c>
      <c r="F11" s="1" t="s">
        <v>16</v>
      </c>
    </row>
    <row r="12" spans="1:10" x14ac:dyDescent="0.25">
      <c r="A12" s="5">
        <v>11</v>
      </c>
      <c r="B12" s="5" t="s">
        <v>19</v>
      </c>
      <c r="C12" s="3" t="s">
        <v>14</v>
      </c>
      <c r="D12" s="3" t="s">
        <v>15</v>
      </c>
      <c r="E12" s="7">
        <v>20</v>
      </c>
      <c r="F12" s="1" t="s">
        <v>16</v>
      </c>
    </row>
    <row r="13" spans="1:10" x14ac:dyDescent="0.25">
      <c r="A13" s="5">
        <v>12</v>
      </c>
      <c r="B13" s="5" t="s">
        <v>20</v>
      </c>
      <c r="C13" s="3" t="s">
        <v>14</v>
      </c>
      <c r="D13" s="3" t="s">
        <v>15</v>
      </c>
      <c r="E13" s="7">
        <v>20</v>
      </c>
      <c r="F13" s="1" t="s">
        <v>16</v>
      </c>
    </row>
    <row r="14" spans="1:10" x14ac:dyDescent="0.25">
      <c r="A14" s="5">
        <v>13</v>
      </c>
      <c r="B14" s="5" t="s">
        <v>21</v>
      </c>
      <c r="C14" s="3" t="s">
        <v>4</v>
      </c>
      <c r="D14" s="3" t="s">
        <v>17</v>
      </c>
      <c r="E14" s="7">
        <v>30</v>
      </c>
      <c r="F14" s="1" t="s">
        <v>16</v>
      </c>
    </row>
    <row r="15" spans="1:10" x14ac:dyDescent="0.25">
      <c r="A15" s="5">
        <v>14</v>
      </c>
      <c r="B15" s="5" t="s">
        <v>22</v>
      </c>
      <c r="C15" s="3" t="s">
        <v>4</v>
      </c>
      <c r="D15" s="3" t="s">
        <v>17</v>
      </c>
      <c r="E15" s="7">
        <v>30</v>
      </c>
      <c r="F15" s="1" t="s">
        <v>16</v>
      </c>
    </row>
    <row r="16" spans="1:10" x14ac:dyDescent="0.25">
      <c r="A16" s="5">
        <v>15</v>
      </c>
      <c r="B16" s="5" t="s">
        <v>23</v>
      </c>
      <c r="C16" s="3" t="s">
        <v>4</v>
      </c>
      <c r="D16" s="3" t="s">
        <v>17</v>
      </c>
      <c r="E16" s="7">
        <v>30</v>
      </c>
      <c r="F16" s="1" t="s">
        <v>16</v>
      </c>
    </row>
    <row r="17" spans="1:6" x14ac:dyDescent="0.25">
      <c r="A17" s="5">
        <v>16</v>
      </c>
      <c r="B17" s="5" t="s">
        <v>44</v>
      </c>
      <c r="C17" s="3" t="s">
        <v>7</v>
      </c>
      <c r="D17" s="3" t="s">
        <v>12</v>
      </c>
      <c r="E17" s="7">
        <v>15</v>
      </c>
      <c r="F17" s="1" t="s">
        <v>8</v>
      </c>
    </row>
    <row r="18" spans="1:6" x14ac:dyDescent="0.25">
      <c r="A18" s="5">
        <v>17</v>
      </c>
      <c r="B18" s="5" t="s">
        <v>61</v>
      </c>
      <c r="C18" s="3" t="s">
        <v>4</v>
      </c>
      <c r="D18" s="3" t="s">
        <v>17</v>
      </c>
      <c r="E18" s="7">
        <v>30</v>
      </c>
      <c r="F18" s="1" t="s">
        <v>16</v>
      </c>
    </row>
    <row r="19" spans="1:6" x14ac:dyDescent="0.25">
      <c r="A19" s="5">
        <v>18</v>
      </c>
      <c r="B19" s="5" t="s">
        <v>62</v>
      </c>
      <c r="C19" s="3" t="s">
        <v>4</v>
      </c>
      <c r="D19" s="3" t="s">
        <v>17</v>
      </c>
      <c r="E19" s="7">
        <v>30</v>
      </c>
      <c r="F19" s="1" t="s">
        <v>16</v>
      </c>
    </row>
    <row r="20" spans="1:6" x14ac:dyDescent="0.25">
      <c r="A20" s="5">
        <v>19</v>
      </c>
      <c r="B20" s="5" t="s">
        <v>71</v>
      </c>
      <c r="C20" s="3" t="s">
        <v>4</v>
      </c>
      <c r="D20" s="3" t="s">
        <v>17</v>
      </c>
      <c r="E20" s="7">
        <v>30</v>
      </c>
      <c r="F20" s="1" t="s">
        <v>16</v>
      </c>
    </row>
    <row r="21" spans="1:6" x14ac:dyDescent="0.25">
      <c r="A21" s="5">
        <v>20</v>
      </c>
      <c r="B21" s="5" t="s">
        <v>72</v>
      </c>
      <c r="C21" s="3" t="s">
        <v>14</v>
      </c>
      <c r="D21" s="3" t="s">
        <v>15</v>
      </c>
      <c r="E21" s="7">
        <v>20</v>
      </c>
      <c r="F21" s="1" t="s">
        <v>16</v>
      </c>
    </row>
    <row r="22" spans="1:6" x14ac:dyDescent="0.25">
      <c r="A22" s="5">
        <v>21</v>
      </c>
      <c r="B22" s="5" t="s">
        <v>79</v>
      </c>
      <c r="C22" s="3" t="s">
        <v>6</v>
      </c>
      <c r="D22" s="3" t="s">
        <v>11</v>
      </c>
      <c r="E22" s="7">
        <v>10</v>
      </c>
      <c r="F22" s="1" t="s">
        <v>8</v>
      </c>
    </row>
    <row r="23" spans="1:6" x14ac:dyDescent="0.25">
      <c r="A23" s="5">
        <v>22</v>
      </c>
      <c r="B23" s="5" t="s">
        <v>80</v>
      </c>
      <c r="C23" s="3" t="s">
        <v>7</v>
      </c>
      <c r="D23" s="3" t="s">
        <v>12</v>
      </c>
      <c r="E23" s="7">
        <v>15</v>
      </c>
      <c r="F23" s="1" t="s">
        <v>8</v>
      </c>
    </row>
    <row r="24" spans="1:6" x14ac:dyDescent="0.25">
      <c r="A24" s="5">
        <v>23</v>
      </c>
      <c r="B24" s="5" t="s">
        <v>81</v>
      </c>
      <c r="C24" s="3" t="s">
        <v>14</v>
      </c>
      <c r="D24" s="3" t="s">
        <v>15</v>
      </c>
      <c r="E24" s="7">
        <v>20</v>
      </c>
      <c r="F24" s="1" t="s">
        <v>16</v>
      </c>
    </row>
    <row r="25" spans="1:6" x14ac:dyDescent="0.25">
      <c r="A25" s="5">
        <v>24</v>
      </c>
      <c r="B25" s="5" t="s">
        <v>82</v>
      </c>
      <c r="C25" s="3" t="s">
        <v>14</v>
      </c>
      <c r="D25" s="3" t="s">
        <v>15</v>
      </c>
      <c r="E25" s="7">
        <v>20</v>
      </c>
      <c r="F25" s="1" t="s">
        <v>16</v>
      </c>
    </row>
    <row r="26" spans="1:6" x14ac:dyDescent="0.25">
      <c r="A26" s="5">
        <v>25</v>
      </c>
      <c r="B26" s="5" t="s">
        <v>83</v>
      </c>
      <c r="C26" s="3" t="s">
        <v>5</v>
      </c>
      <c r="D26" s="3" t="s">
        <v>13</v>
      </c>
      <c r="E26" s="7">
        <v>20</v>
      </c>
      <c r="F26" s="1" t="s">
        <v>8</v>
      </c>
    </row>
    <row r="27" spans="1:6" x14ac:dyDescent="0.25">
      <c r="A27" s="5">
        <v>26</v>
      </c>
      <c r="B27" s="5" t="s">
        <v>84</v>
      </c>
      <c r="C27" s="3" t="s">
        <v>14</v>
      </c>
      <c r="D27" s="3" t="s">
        <v>15</v>
      </c>
      <c r="E27" s="7">
        <v>20</v>
      </c>
      <c r="F27" s="1" t="s">
        <v>16</v>
      </c>
    </row>
    <row r="28" spans="1:6" x14ac:dyDescent="0.25">
      <c r="A28" s="5">
        <v>27</v>
      </c>
      <c r="B28" s="5" t="s">
        <v>85</v>
      </c>
      <c r="C28" s="3" t="s">
        <v>7</v>
      </c>
      <c r="D28" s="3" t="s">
        <v>12</v>
      </c>
      <c r="E28" s="7">
        <v>15</v>
      </c>
      <c r="F28" s="1" t="s">
        <v>8</v>
      </c>
    </row>
    <row r="29" spans="1:6" x14ac:dyDescent="0.25">
      <c r="A29" s="5">
        <v>28</v>
      </c>
      <c r="B29" s="5" t="s">
        <v>86</v>
      </c>
      <c r="C29" s="3" t="s">
        <v>6</v>
      </c>
      <c r="D29" s="3" t="s">
        <v>11</v>
      </c>
      <c r="E29" s="7">
        <v>10</v>
      </c>
      <c r="F29" s="1" t="s">
        <v>8</v>
      </c>
    </row>
    <row r="30" spans="1:6" x14ac:dyDescent="0.25">
      <c r="A30" s="5">
        <v>29</v>
      </c>
      <c r="B30" s="5" t="s">
        <v>87</v>
      </c>
      <c r="C30" s="3" t="s">
        <v>5</v>
      </c>
      <c r="D30" s="3" t="s">
        <v>13</v>
      </c>
      <c r="E30" s="7">
        <v>20</v>
      </c>
      <c r="F30" s="1" t="s">
        <v>8</v>
      </c>
    </row>
    <row r="31" spans="1:6" x14ac:dyDescent="0.25">
      <c r="A31" s="5">
        <v>30</v>
      </c>
      <c r="B31" s="5" t="s">
        <v>88</v>
      </c>
      <c r="C31" s="3" t="s">
        <v>5</v>
      </c>
      <c r="D31" s="3" t="s">
        <v>13</v>
      </c>
      <c r="E31" s="7">
        <v>20</v>
      </c>
      <c r="F31" s="1" t="s">
        <v>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99"/>
  <sheetViews>
    <sheetView workbookViewId="0">
      <selection activeCell="D6" sqref="D6"/>
    </sheetView>
  </sheetViews>
  <sheetFormatPr defaultRowHeight="15" x14ac:dyDescent="0.25"/>
  <cols>
    <col min="1" max="1" width="13.85546875" bestFit="1" customWidth="1"/>
    <col min="2" max="2" width="11.85546875" bestFit="1" customWidth="1"/>
    <col min="3" max="3" width="21" bestFit="1" customWidth="1"/>
    <col min="4" max="4" width="19.5703125" style="13" bestFit="1" customWidth="1"/>
    <col min="5" max="5" width="18.140625" bestFit="1" customWidth="1"/>
  </cols>
  <sheetData>
    <row r="1" spans="1:5" x14ac:dyDescent="0.25">
      <c r="A1" s="15" t="s">
        <v>37</v>
      </c>
      <c r="B1" s="15" t="s">
        <v>35</v>
      </c>
      <c r="C1" s="15" t="s">
        <v>36</v>
      </c>
      <c r="D1" s="19" t="s">
        <v>70</v>
      </c>
      <c r="E1" s="15"/>
    </row>
    <row r="2" spans="1:5" x14ac:dyDescent="0.25">
      <c r="A2">
        <v>1</v>
      </c>
      <c r="B2" t="s">
        <v>39</v>
      </c>
      <c r="C2" t="s">
        <v>38</v>
      </c>
      <c r="D2" s="13">
        <f>SUMIFS(box_tracking!$J:$J,box_tracking!$E:$E,"&gt;="&amp;report!C$1,box_tracking!$E:$E,"&lt;="&amp;report!C$2,box_tracking!$D:$D,B2)</f>
        <v>70</v>
      </c>
    </row>
    <row r="3" spans="1:5" x14ac:dyDescent="0.25">
      <c r="A3">
        <v>2</v>
      </c>
      <c r="B3" t="s">
        <v>41</v>
      </c>
      <c r="C3" t="s">
        <v>40</v>
      </c>
      <c r="D3" s="13">
        <f>SUMIFS(box_tracking!$J:$J,box_tracking!$E:$E,"&gt;="&amp;report!C$1,box_tracking!$E:$E,"&lt;="&amp;report!C$2,box_tracking!$D:$D,B3)</f>
        <v>55</v>
      </c>
    </row>
    <row r="4" spans="1:5" x14ac:dyDescent="0.25">
      <c r="A4">
        <v>3</v>
      </c>
      <c r="B4" t="s">
        <v>43</v>
      </c>
      <c r="C4" t="s">
        <v>42</v>
      </c>
      <c r="D4" s="13">
        <f>SUMIFS(box_tracking!$J:$J,box_tracking!$E:$E,"&gt;="&amp;report!C$1,box_tracking!$E:$E,"&lt;="&amp;report!C$2,box_tracking!$D:$D,B4)</f>
        <v>50</v>
      </c>
    </row>
    <row r="5" spans="1:5" x14ac:dyDescent="0.25">
      <c r="A5">
        <v>4</v>
      </c>
      <c r="B5" t="s">
        <v>46</v>
      </c>
      <c r="C5" t="s">
        <v>45</v>
      </c>
      <c r="D5" s="13">
        <f>SUMIFS(box_tracking!$J:$J,box_tracking!$E:$E,"&gt;="&amp;report!C$1,box_tracking!$E:$E,"&lt;="&amp;report!C$2,box_tracking!$D:$D,B5)</f>
        <v>15</v>
      </c>
    </row>
    <row r="6" spans="1:5" x14ac:dyDescent="0.25">
      <c r="A6">
        <v>5</v>
      </c>
      <c r="B6" t="s">
        <v>60</v>
      </c>
      <c r="C6" t="s">
        <v>59</v>
      </c>
      <c r="D6" s="13">
        <f>SUMIFS(box_tracking!$J:$J,box_tracking!$E:$E,"&gt;="&amp;report!C$1,box_tracking!$E:$E,"&lt;="&amp;report!C$2,box_tracking!$D:$D,B6)</f>
        <v>95</v>
      </c>
    </row>
    <row r="7" spans="1:5" x14ac:dyDescent="0.25">
      <c r="A7">
        <v>6</v>
      </c>
      <c r="B7" t="s">
        <v>64</v>
      </c>
      <c r="C7" t="s">
        <v>63</v>
      </c>
      <c r="D7" s="13">
        <f>SUMIFS(box_tracking!$J:$J,box_tracking!$E:$E,"&gt;="&amp;report!C$1,box_tracking!$E:$E,"&lt;="&amp;report!C$2,box_tracking!$D:$D,B7)</f>
        <v>40</v>
      </c>
    </row>
    <row r="8" spans="1:5" x14ac:dyDescent="0.25">
      <c r="A8">
        <v>7</v>
      </c>
      <c r="B8" t="s">
        <v>66</v>
      </c>
      <c r="C8" t="s">
        <v>67</v>
      </c>
      <c r="D8" s="13">
        <f>SUMIFS(box_tracking!$J:$J,box_tracking!$E:$E,"&gt;="&amp;report!C$1,box_tracking!$E:$E,"&lt;="&amp;report!C$2,box_tracking!$D:$D,B8)</f>
        <v>20</v>
      </c>
    </row>
    <row r="9" spans="1:5" x14ac:dyDescent="0.25">
      <c r="A9">
        <v>8</v>
      </c>
      <c r="B9" t="s">
        <v>69</v>
      </c>
      <c r="C9" t="s">
        <v>68</v>
      </c>
      <c r="D9" s="13">
        <f>SUMIFS(box_tracking!$J:$J,box_tracking!$E:$E,"&gt;="&amp;report!C$1,box_tracking!$E:$E,"&lt;="&amp;report!C$2,box_tracking!$D:$D,B9)</f>
        <v>20</v>
      </c>
    </row>
    <row r="10" spans="1:5" x14ac:dyDescent="0.25">
      <c r="A10">
        <v>9</v>
      </c>
      <c r="B10" t="s">
        <v>74</v>
      </c>
      <c r="C10" t="s">
        <v>73</v>
      </c>
      <c r="D10" s="13">
        <f>SUMIFS(box_tracking!$J:$J,box_tracking!$E:$E,"&gt;="&amp;report!C$1,box_tracking!$E:$E,"&lt;="&amp;report!C$2,box_tracking!$D:$D,B10)</f>
        <v>15</v>
      </c>
    </row>
    <row r="11" spans="1:5" x14ac:dyDescent="0.25">
      <c r="D11" s="13">
        <f>SUMIFS(box_tracking!$J:$J,box_tracking!$E:$E,"&gt;="&amp;report!C$1,box_tracking!$E:$E,"&lt;="&amp;report!C$2,box_tracking!$D:$D,B11)</f>
        <v>0</v>
      </c>
    </row>
    <row r="12" spans="1:5" x14ac:dyDescent="0.25">
      <c r="D12" s="13">
        <f>SUMIFS(box_tracking!$J:$J,box_tracking!$E:$E,"&gt;="&amp;report!C$1,box_tracking!$E:$E,"&lt;="&amp;report!C$2,box_tracking!$D:$D,B12)</f>
        <v>0</v>
      </c>
    </row>
    <row r="13" spans="1:5" x14ac:dyDescent="0.25">
      <c r="D13" s="13">
        <f>SUMIFS(box_tracking!$J:$J,box_tracking!$E:$E,"&gt;="&amp;report!C$1,box_tracking!$E:$E,"&lt;="&amp;report!C$2,box_tracking!$D:$D,B13)</f>
        <v>0</v>
      </c>
    </row>
    <row r="14" spans="1:5" x14ac:dyDescent="0.25">
      <c r="D14" s="13">
        <f>SUMIFS(box_tracking!$J:$J,box_tracking!$E:$E,"&gt;="&amp;report!C$1,box_tracking!$E:$E,"&lt;="&amp;report!C$2,box_tracking!$D:$D,B14)</f>
        <v>0</v>
      </c>
    </row>
    <row r="15" spans="1:5" x14ac:dyDescent="0.25">
      <c r="D15" s="13">
        <f>SUMIFS(box_tracking!$J:$J,box_tracking!$E:$E,"&gt;="&amp;report!C$1,box_tracking!$E:$E,"&lt;="&amp;report!C$2,box_tracking!$D:$D,B15)</f>
        <v>0</v>
      </c>
    </row>
    <row r="16" spans="1:5" x14ac:dyDescent="0.25">
      <c r="D16" s="13">
        <f>SUMIFS(box_tracking!$J:$J,box_tracking!$E:$E,"&gt;="&amp;report!C$1,box_tracking!$E:$E,"&lt;="&amp;report!C$2,box_tracking!$D:$D,B16)</f>
        <v>0</v>
      </c>
    </row>
    <row r="17" spans="4:4" x14ac:dyDescent="0.25">
      <c r="D17" s="13">
        <f>SUMIFS(box_tracking!$J:$J,box_tracking!$E:$E,"&gt;="&amp;report!C$1,box_tracking!$E:$E,"&lt;="&amp;report!C$2,box_tracking!$D:$D,B17)</f>
        <v>0</v>
      </c>
    </row>
    <row r="18" spans="4:4" x14ac:dyDescent="0.25">
      <c r="D18" s="13">
        <f>SUMIFS(box_tracking!$J:$J,box_tracking!$E:$E,"&gt;="&amp;report!C$1,box_tracking!$E:$E,"&lt;="&amp;report!C$2,box_tracking!$D:$D,B18)</f>
        <v>0</v>
      </c>
    </row>
    <row r="19" spans="4:4" x14ac:dyDescent="0.25">
      <c r="D19" s="13">
        <f>SUMIFS(box_tracking!$J:$J,box_tracking!$E:$E,"&gt;="&amp;report!C$1,box_tracking!$E:$E,"&lt;="&amp;report!C$2,box_tracking!$D:$D,B19)</f>
        <v>0</v>
      </c>
    </row>
    <row r="20" spans="4:4" x14ac:dyDescent="0.25">
      <c r="D20" s="13">
        <f>SUMIFS(box_tracking!$J:$J,box_tracking!$E:$E,"&gt;="&amp;report!C$1,box_tracking!$E:$E,"&lt;="&amp;report!C$2,box_tracking!$D:$D,B20)</f>
        <v>0</v>
      </c>
    </row>
    <row r="21" spans="4:4" x14ac:dyDescent="0.25">
      <c r="D21" s="13">
        <f>SUMIFS(box_tracking!$J:$J,box_tracking!$E:$E,"&gt;="&amp;report!C$1,box_tracking!$E:$E,"&lt;="&amp;report!C$2,box_tracking!$D:$D,B21)</f>
        <v>0</v>
      </c>
    </row>
    <row r="22" spans="4:4" x14ac:dyDescent="0.25">
      <c r="D22" s="13">
        <f>SUMIFS(box_tracking!$J:$J,box_tracking!$E:$E,"&gt;="&amp;report!C$1,box_tracking!$E:$E,"&lt;="&amp;report!C$2,box_tracking!$D:$D,B22)</f>
        <v>0</v>
      </c>
    </row>
    <row r="23" spans="4:4" x14ac:dyDescent="0.25">
      <c r="D23" s="13">
        <f>SUMIFS(box_tracking!$J:$J,box_tracking!$E:$E,"&gt;="&amp;report!C$1,box_tracking!$E:$E,"&lt;="&amp;report!C$2,box_tracking!$D:$D,B23)</f>
        <v>0</v>
      </c>
    </row>
    <row r="24" spans="4:4" x14ac:dyDescent="0.25">
      <c r="D24" s="13">
        <f>SUMIFS(box_tracking!$J:$J,box_tracking!$E:$E,"&gt;="&amp;report!C$1,box_tracking!$E:$E,"&lt;="&amp;report!C$2,box_tracking!$D:$D,B24)</f>
        <v>0</v>
      </c>
    </row>
    <row r="25" spans="4:4" x14ac:dyDescent="0.25">
      <c r="D25" s="13">
        <f>SUMIFS(box_tracking!$J:$J,box_tracking!$E:$E,"&gt;="&amp;report!C$1,box_tracking!$E:$E,"&lt;="&amp;report!C$2,box_tracking!$D:$D,B25)</f>
        <v>0</v>
      </c>
    </row>
    <row r="26" spans="4:4" x14ac:dyDescent="0.25">
      <c r="D26" s="13">
        <f>SUMIFS(box_tracking!$J:$J,box_tracking!$E:$E,"&gt;="&amp;report!C$1,box_tracking!$E:$E,"&lt;="&amp;report!C$2,box_tracking!$D:$D,B26)</f>
        <v>0</v>
      </c>
    </row>
    <row r="27" spans="4:4" x14ac:dyDescent="0.25">
      <c r="D27" s="13">
        <f>SUMIFS(box_tracking!$J:$J,box_tracking!$E:$E,"&gt;="&amp;report!C$1,box_tracking!$E:$E,"&lt;="&amp;report!C$2,box_tracking!$D:$D,B27)</f>
        <v>0</v>
      </c>
    </row>
    <row r="28" spans="4:4" x14ac:dyDescent="0.25">
      <c r="D28" s="13">
        <f>SUMIFS(box_tracking!$J:$J,box_tracking!$E:$E,"&gt;="&amp;report!C$1,box_tracking!$E:$E,"&lt;="&amp;report!C$2,box_tracking!$D:$D,B28)</f>
        <v>0</v>
      </c>
    </row>
    <row r="29" spans="4:4" x14ac:dyDescent="0.25">
      <c r="D29" s="13">
        <f>SUMIFS(box_tracking!$J:$J,box_tracking!$E:$E,"&gt;="&amp;report!C$1,box_tracking!$E:$E,"&lt;="&amp;report!C$2,box_tracking!$D:$D,B29)</f>
        <v>0</v>
      </c>
    </row>
    <row r="30" spans="4:4" x14ac:dyDescent="0.25">
      <c r="D30" s="13">
        <f>SUMIFS(box_tracking!$J:$J,box_tracking!$E:$E,"&gt;="&amp;report!C$1,box_tracking!$E:$E,"&lt;="&amp;report!C$2,box_tracking!$D:$D,B30)</f>
        <v>0</v>
      </c>
    </row>
    <row r="31" spans="4:4" x14ac:dyDescent="0.25">
      <c r="D31" s="13">
        <f>SUMIFS(box_tracking!$J:$J,box_tracking!$E:$E,"&gt;="&amp;report!C$1,box_tracking!$E:$E,"&lt;="&amp;report!C$2,box_tracking!$D:$D,B31)</f>
        <v>0</v>
      </c>
    </row>
    <row r="32" spans="4:4" x14ac:dyDescent="0.25">
      <c r="D32" s="13">
        <f>SUMIFS(box_tracking!$J:$J,box_tracking!$E:$E,"&gt;="&amp;report!C$1,box_tracking!$E:$E,"&lt;="&amp;report!C$2,box_tracking!$D:$D,B32)</f>
        <v>0</v>
      </c>
    </row>
    <row r="33" spans="4:4" x14ac:dyDescent="0.25">
      <c r="D33" s="13">
        <f>SUMIFS(box_tracking!$J:$J,box_tracking!$E:$E,"&gt;="&amp;report!C$1,box_tracking!$E:$E,"&lt;="&amp;report!C$2,box_tracking!$D:$D,B33)</f>
        <v>0</v>
      </c>
    </row>
    <row r="34" spans="4:4" x14ac:dyDescent="0.25">
      <c r="D34" s="13">
        <f>SUMIFS(box_tracking!$J:$J,box_tracking!$E:$E,"&gt;="&amp;report!C$1,box_tracking!$E:$E,"&lt;="&amp;report!C$2,box_tracking!$D:$D,B34)</f>
        <v>0</v>
      </c>
    </row>
    <row r="35" spans="4:4" x14ac:dyDescent="0.25">
      <c r="D35" s="13">
        <f>SUMIFS(box_tracking!$J:$J,box_tracking!$E:$E,"&gt;="&amp;report!C$1,box_tracking!$E:$E,"&lt;="&amp;report!C$2,box_tracking!$D:$D,B35)</f>
        <v>0</v>
      </c>
    </row>
    <row r="36" spans="4:4" x14ac:dyDescent="0.25">
      <c r="D36" s="13">
        <f>SUMIFS(box_tracking!$J:$J,box_tracking!$E:$E,"&gt;="&amp;report!C$1,box_tracking!$E:$E,"&lt;="&amp;report!C$2,box_tracking!$D:$D,B36)</f>
        <v>0</v>
      </c>
    </row>
    <row r="37" spans="4:4" x14ac:dyDescent="0.25">
      <c r="D37" s="13">
        <f>SUMIFS(box_tracking!$J:$J,box_tracking!$E:$E,"&gt;="&amp;report!C$1,box_tracking!$E:$E,"&lt;="&amp;report!C$2,box_tracking!$D:$D,B37)</f>
        <v>0</v>
      </c>
    </row>
    <row r="38" spans="4:4" x14ac:dyDescent="0.25">
      <c r="D38" s="13">
        <f>SUMIFS(box_tracking!$J:$J,box_tracking!$E:$E,"&gt;="&amp;report!C$1,box_tracking!$E:$E,"&lt;="&amp;report!C$2,box_tracking!$D:$D,B38)</f>
        <v>0</v>
      </c>
    </row>
    <row r="39" spans="4:4" x14ac:dyDescent="0.25">
      <c r="D39" s="13">
        <f>SUMIFS(box_tracking!$J:$J,box_tracking!$E:$E,"&gt;="&amp;report!C$1,box_tracking!$E:$E,"&lt;="&amp;report!C$2,box_tracking!$D:$D,B39)</f>
        <v>0</v>
      </c>
    </row>
    <row r="40" spans="4:4" x14ac:dyDescent="0.25">
      <c r="D40" s="13">
        <f>SUMIFS(box_tracking!$J:$J,box_tracking!$E:$E,"&gt;="&amp;report!C$1,box_tracking!$E:$E,"&lt;="&amp;report!C$2,box_tracking!$D:$D,B40)</f>
        <v>0</v>
      </c>
    </row>
    <row r="41" spans="4:4" x14ac:dyDescent="0.25">
      <c r="D41" s="13">
        <f>SUMIFS(box_tracking!$J:$J,box_tracking!$E:$E,"&gt;="&amp;report!C$1,box_tracking!$E:$E,"&lt;="&amp;report!C$2,box_tracking!$D:$D,B41)</f>
        <v>0</v>
      </c>
    </row>
    <row r="42" spans="4:4" x14ac:dyDescent="0.25">
      <c r="D42" s="13">
        <f>SUMIFS(box_tracking!$J:$J,box_tracking!$E:$E,"&gt;="&amp;report!C$1,box_tracking!$E:$E,"&lt;="&amp;report!C$2,box_tracking!$D:$D,B42)</f>
        <v>0</v>
      </c>
    </row>
    <row r="43" spans="4:4" x14ac:dyDescent="0.25">
      <c r="D43" s="13">
        <f>SUMIFS(box_tracking!$J:$J,box_tracking!$E:$E,"&gt;="&amp;report!C$1,box_tracking!$E:$E,"&lt;="&amp;report!C$2,box_tracking!$D:$D,B43)</f>
        <v>0</v>
      </c>
    </row>
    <row r="44" spans="4:4" x14ac:dyDescent="0.25">
      <c r="D44" s="13">
        <f>SUMIFS(box_tracking!$J:$J,box_tracking!$E:$E,"&gt;="&amp;report!C$1,box_tracking!$E:$E,"&lt;="&amp;report!C$2,box_tracking!$D:$D,B44)</f>
        <v>0</v>
      </c>
    </row>
    <row r="45" spans="4:4" x14ac:dyDescent="0.25">
      <c r="D45" s="13">
        <f>SUMIFS(box_tracking!$J:$J,box_tracking!$E:$E,"&gt;="&amp;report!C$1,box_tracking!$E:$E,"&lt;="&amp;report!C$2,box_tracking!$D:$D,B45)</f>
        <v>0</v>
      </c>
    </row>
    <row r="46" spans="4:4" x14ac:dyDescent="0.25">
      <c r="D46" s="13">
        <f>SUMIFS(box_tracking!$J:$J,box_tracking!$E:$E,"&gt;="&amp;report!C$1,box_tracking!$E:$E,"&lt;="&amp;report!C$2,box_tracking!$D:$D,B46)</f>
        <v>0</v>
      </c>
    </row>
    <row r="47" spans="4:4" x14ac:dyDescent="0.25">
      <c r="D47" s="13">
        <f>SUMIFS(box_tracking!$J:$J,box_tracking!$E:$E,"&gt;="&amp;report!C$1,box_tracking!$E:$E,"&lt;="&amp;report!C$2,box_tracking!$D:$D,B47)</f>
        <v>0</v>
      </c>
    </row>
    <row r="48" spans="4:4" x14ac:dyDescent="0.25">
      <c r="D48" s="13">
        <f>SUMIFS(box_tracking!$J:$J,box_tracking!$E:$E,"&gt;="&amp;report!C$1,box_tracking!$E:$E,"&lt;="&amp;report!C$2,box_tracking!$D:$D,B48)</f>
        <v>0</v>
      </c>
    </row>
    <row r="49" spans="4:4" x14ac:dyDescent="0.25">
      <c r="D49" s="13">
        <f>SUMIFS(box_tracking!$J:$J,box_tracking!$E:$E,"&gt;="&amp;report!C$1,box_tracking!$E:$E,"&lt;="&amp;report!C$2,box_tracking!$D:$D,B49)</f>
        <v>0</v>
      </c>
    </row>
    <row r="50" spans="4:4" x14ac:dyDescent="0.25">
      <c r="D50" s="13">
        <f>SUMIFS(box_tracking!$J:$J,box_tracking!$E:$E,"&gt;="&amp;report!C$1,box_tracking!$E:$E,"&lt;="&amp;report!C$2,box_tracking!$D:$D,B50)</f>
        <v>0</v>
      </c>
    </row>
    <row r="51" spans="4:4" x14ac:dyDescent="0.25">
      <c r="D51" s="13">
        <f>SUMIFS(box_tracking!$J:$J,box_tracking!$E:$E,"&gt;="&amp;report!C$1,box_tracking!$E:$E,"&lt;="&amp;report!C$2,box_tracking!$D:$D,B51)</f>
        <v>0</v>
      </c>
    </row>
    <row r="52" spans="4:4" x14ac:dyDescent="0.25">
      <c r="D52" s="13">
        <f>SUMIFS(box_tracking!$J:$J,box_tracking!$E:$E,"&gt;="&amp;report!C$1,box_tracking!$E:$E,"&lt;="&amp;report!C$2,box_tracking!$D:$D,B52)</f>
        <v>0</v>
      </c>
    </row>
    <row r="53" spans="4:4" x14ac:dyDescent="0.25">
      <c r="D53" s="13">
        <f>SUMIFS(box_tracking!$J:$J,box_tracking!$E:$E,"&gt;="&amp;report!C$1,box_tracking!$E:$E,"&lt;="&amp;report!C$2,box_tracking!$D:$D,B53)</f>
        <v>0</v>
      </c>
    </row>
    <row r="54" spans="4:4" x14ac:dyDescent="0.25">
      <c r="D54" s="13">
        <f>SUMIFS(box_tracking!$J:$J,box_tracking!$E:$E,"&gt;="&amp;report!C$1,box_tracking!$E:$E,"&lt;="&amp;report!C$2,box_tracking!$D:$D,B54)</f>
        <v>0</v>
      </c>
    </row>
    <row r="55" spans="4:4" x14ac:dyDescent="0.25">
      <c r="D55" s="13">
        <f>SUMIFS(box_tracking!$J:$J,box_tracking!$E:$E,"&gt;="&amp;report!C$1,box_tracking!$E:$E,"&lt;="&amp;report!C$2,box_tracking!$D:$D,B55)</f>
        <v>0</v>
      </c>
    </row>
    <row r="56" spans="4:4" x14ac:dyDescent="0.25">
      <c r="D56" s="13">
        <f>SUMIFS(box_tracking!$J:$J,box_tracking!$E:$E,"&gt;="&amp;report!C$1,box_tracking!$E:$E,"&lt;="&amp;report!C$2,box_tracking!$D:$D,B56)</f>
        <v>0</v>
      </c>
    </row>
    <row r="57" spans="4:4" x14ac:dyDescent="0.25">
      <c r="D57" s="13">
        <f>SUMIFS(box_tracking!$J:$J,box_tracking!$E:$E,"&gt;="&amp;report!C$1,box_tracking!$E:$E,"&lt;="&amp;report!C$2,box_tracking!$D:$D,B57)</f>
        <v>0</v>
      </c>
    </row>
    <row r="58" spans="4:4" x14ac:dyDescent="0.25">
      <c r="D58" s="13">
        <f>SUMIFS(box_tracking!$J:$J,box_tracking!$E:$E,"&gt;="&amp;report!C$1,box_tracking!$E:$E,"&lt;="&amp;report!C$2,box_tracking!$D:$D,B58)</f>
        <v>0</v>
      </c>
    </row>
    <row r="59" spans="4:4" x14ac:dyDescent="0.25">
      <c r="D59" s="13">
        <f>SUMIFS(box_tracking!$J:$J,box_tracking!$E:$E,"&gt;="&amp;report!C$1,box_tracking!$E:$E,"&lt;="&amp;report!C$2,box_tracking!$D:$D,B59)</f>
        <v>0</v>
      </c>
    </row>
    <row r="60" spans="4:4" x14ac:dyDescent="0.25">
      <c r="D60" s="13">
        <f>SUMIFS(box_tracking!$J:$J,box_tracking!$E:$E,"&gt;="&amp;report!C$1,box_tracking!$E:$E,"&lt;="&amp;report!C$2,box_tracking!$D:$D,B60)</f>
        <v>0</v>
      </c>
    </row>
    <row r="61" spans="4:4" x14ac:dyDescent="0.25">
      <c r="D61" s="13">
        <f>SUMIFS(box_tracking!$J:$J,box_tracking!$E:$E,"&gt;="&amp;report!C$1,box_tracking!$E:$E,"&lt;="&amp;report!C$2,box_tracking!$D:$D,B61)</f>
        <v>0</v>
      </c>
    </row>
    <row r="62" spans="4:4" x14ac:dyDescent="0.25">
      <c r="D62" s="13">
        <f>SUMIFS(box_tracking!$J:$J,box_tracking!$E:$E,"&gt;="&amp;report!C$1,box_tracking!$E:$E,"&lt;="&amp;report!C$2,box_tracking!$D:$D,B62)</f>
        <v>0</v>
      </c>
    </row>
    <row r="63" spans="4:4" x14ac:dyDescent="0.25">
      <c r="D63" s="13">
        <f>SUMIFS(box_tracking!$J:$J,box_tracking!$E:$E,"&gt;="&amp;report!C$1,box_tracking!$E:$E,"&lt;="&amp;report!C$2,box_tracking!$D:$D,B63)</f>
        <v>0</v>
      </c>
    </row>
    <row r="64" spans="4:4" x14ac:dyDescent="0.25">
      <c r="D64" s="13">
        <f>SUMIFS(box_tracking!$J:$J,box_tracking!$E:$E,"&gt;="&amp;report!C$1,box_tracking!$E:$E,"&lt;="&amp;report!C$2,box_tracking!$D:$D,B64)</f>
        <v>0</v>
      </c>
    </row>
    <row r="65" spans="4:4" x14ac:dyDescent="0.25">
      <c r="D65" s="13">
        <f>SUMIFS(box_tracking!$J:$J,box_tracking!$E:$E,"&gt;="&amp;report!C$1,box_tracking!$E:$E,"&lt;="&amp;report!C$2,box_tracking!$D:$D,B65)</f>
        <v>0</v>
      </c>
    </row>
    <row r="66" spans="4:4" x14ac:dyDescent="0.25">
      <c r="D66" s="13">
        <f>SUMIFS(box_tracking!$J:$J,box_tracking!$E:$E,"&gt;="&amp;report!C$1,box_tracking!$E:$E,"&lt;="&amp;report!C$2,box_tracking!$D:$D,B66)</f>
        <v>0</v>
      </c>
    </row>
    <row r="67" spans="4:4" x14ac:dyDescent="0.25">
      <c r="D67" s="13">
        <f>SUMIFS(box_tracking!$J:$J,box_tracking!$E:$E,"&gt;="&amp;report!C$1,box_tracking!$E:$E,"&lt;="&amp;report!C$2,box_tracking!$D:$D,B67)</f>
        <v>0</v>
      </c>
    </row>
    <row r="68" spans="4:4" x14ac:dyDescent="0.25">
      <c r="D68" s="13">
        <f>SUMIFS(box_tracking!$J:$J,box_tracking!$E:$E,"&gt;="&amp;report!C$1,box_tracking!$E:$E,"&lt;="&amp;report!C$2,box_tracking!$D:$D,B68)</f>
        <v>0</v>
      </c>
    </row>
    <row r="69" spans="4:4" x14ac:dyDescent="0.25">
      <c r="D69" s="13">
        <f>SUMIFS(box_tracking!$J:$J,box_tracking!$E:$E,"&gt;="&amp;report!C$1,box_tracking!$E:$E,"&lt;="&amp;report!C$2,box_tracking!$D:$D,B69)</f>
        <v>0</v>
      </c>
    </row>
    <row r="70" spans="4:4" x14ac:dyDescent="0.25">
      <c r="D70" s="13">
        <f>SUMIFS(box_tracking!$J:$J,box_tracking!$E:$E,"&gt;="&amp;report!C$1,box_tracking!$E:$E,"&lt;="&amp;report!C$2,box_tracking!$D:$D,B70)</f>
        <v>0</v>
      </c>
    </row>
    <row r="71" spans="4:4" x14ac:dyDescent="0.25">
      <c r="D71" s="13">
        <f>SUMIFS(box_tracking!$J:$J,box_tracking!$E:$E,"&gt;="&amp;report!C$1,box_tracking!$E:$E,"&lt;="&amp;report!C$2,box_tracking!$D:$D,B71)</f>
        <v>0</v>
      </c>
    </row>
    <row r="72" spans="4:4" x14ac:dyDescent="0.25">
      <c r="D72" s="13">
        <f>SUMIFS(box_tracking!$J:$J,box_tracking!$E:$E,"&gt;="&amp;report!C$1,box_tracking!$E:$E,"&lt;="&amp;report!C$2,box_tracking!$D:$D,B72)</f>
        <v>0</v>
      </c>
    </row>
    <row r="73" spans="4:4" x14ac:dyDescent="0.25">
      <c r="D73" s="13">
        <f>SUMIFS(box_tracking!$J:$J,box_tracking!$E:$E,"&gt;="&amp;report!C$1,box_tracking!$E:$E,"&lt;="&amp;report!C$2,box_tracking!$D:$D,B73)</f>
        <v>0</v>
      </c>
    </row>
    <row r="74" spans="4:4" x14ac:dyDescent="0.25">
      <c r="D74" s="13">
        <f>SUMIFS(box_tracking!$J:$J,box_tracking!$E:$E,"&gt;="&amp;report!C$1,box_tracking!$E:$E,"&lt;="&amp;report!C$2,box_tracking!$D:$D,B74)</f>
        <v>0</v>
      </c>
    </row>
    <row r="75" spans="4:4" x14ac:dyDescent="0.25">
      <c r="D75" s="13">
        <f>SUMIFS(box_tracking!$J:$J,box_tracking!$E:$E,"&gt;="&amp;report!C$1,box_tracking!$E:$E,"&lt;="&amp;report!C$2,box_tracking!$D:$D,B75)</f>
        <v>0</v>
      </c>
    </row>
    <row r="76" spans="4:4" x14ac:dyDescent="0.25">
      <c r="D76" s="13">
        <f>SUMIFS(box_tracking!$J:$J,box_tracking!$E:$E,"&gt;="&amp;report!C$1,box_tracking!$E:$E,"&lt;="&amp;report!C$2,box_tracking!$D:$D,B76)</f>
        <v>0</v>
      </c>
    </row>
    <row r="77" spans="4:4" x14ac:dyDescent="0.25">
      <c r="D77" s="13">
        <f>SUMIFS(box_tracking!$J:$J,box_tracking!$E:$E,"&gt;="&amp;report!C$1,box_tracking!$E:$E,"&lt;="&amp;report!C$2,box_tracking!$D:$D,B77)</f>
        <v>0</v>
      </c>
    </row>
    <row r="78" spans="4:4" x14ac:dyDescent="0.25">
      <c r="D78" s="13">
        <f>SUMIFS(box_tracking!$J:$J,box_tracking!$E:$E,"&gt;="&amp;report!C$1,box_tracking!$E:$E,"&lt;="&amp;report!C$2,box_tracking!$D:$D,B78)</f>
        <v>0</v>
      </c>
    </row>
    <row r="79" spans="4:4" x14ac:dyDescent="0.25">
      <c r="D79" s="13">
        <f>SUMIFS(box_tracking!$J:$J,box_tracking!$E:$E,"&gt;="&amp;report!C$1,box_tracking!$E:$E,"&lt;="&amp;report!C$2,box_tracking!$D:$D,B79)</f>
        <v>0</v>
      </c>
    </row>
    <row r="80" spans="4:4" x14ac:dyDescent="0.25">
      <c r="D80" s="13">
        <f>SUMIFS(box_tracking!$J:$J,box_tracking!$E:$E,"&gt;="&amp;report!C$1,box_tracking!$E:$E,"&lt;="&amp;report!C$2,box_tracking!$D:$D,B80)</f>
        <v>0</v>
      </c>
    </row>
    <row r="81" spans="4:4" x14ac:dyDescent="0.25">
      <c r="D81" s="13">
        <f>SUMIFS(box_tracking!$J:$J,box_tracking!$E:$E,"&gt;="&amp;report!C$1,box_tracking!$E:$E,"&lt;="&amp;report!C$2,box_tracking!$D:$D,B81)</f>
        <v>0</v>
      </c>
    </row>
    <row r="82" spans="4:4" x14ac:dyDescent="0.25">
      <c r="D82" s="13">
        <f>SUMIFS(box_tracking!$J:$J,box_tracking!$E:$E,"&gt;="&amp;report!C$1,box_tracking!$E:$E,"&lt;="&amp;report!C$2,box_tracking!$D:$D,B82)</f>
        <v>0</v>
      </c>
    </row>
    <row r="83" spans="4:4" x14ac:dyDescent="0.25">
      <c r="D83" s="13">
        <f>SUMIFS(box_tracking!$J:$J,box_tracking!$E:$E,"&gt;="&amp;report!C$1,box_tracking!$E:$E,"&lt;="&amp;report!C$2,box_tracking!$D:$D,B83)</f>
        <v>0</v>
      </c>
    </row>
    <row r="84" spans="4:4" x14ac:dyDescent="0.25">
      <c r="D84" s="13">
        <f>SUMIFS(box_tracking!$J:$J,box_tracking!$E:$E,"&gt;="&amp;report!C$1,box_tracking!$E:$E,"&lt;="&amp;report!C$2,box_tracking!$D:$D,B84)</f>
        <v>0</v>
      </c>
    </row>
    <row r="85" spans="4:4" x14ac:dyDescent="0.25">
      <c r="D85" s="13">
        <f>SUMIFS(box_tracking!$J:$J,box_tracking!$E:$E,"&gt;="&amp;report!C$1,box_tracking!$E:$E,"&lt;="&amp;report!C$2,box_tracking!$D:$D,B85)</f>
        <v>0</v>
      </c>
    </row>
    <row r="86" spans="4:4" x14ac:dyDescent="0.25">
      <c r="D86" s="13">
        <f>SUMIFS(box_tracking!$J:$J,box_tracking!$E:$E,"&gt;="&amp;report!C$1,box_tracking!$E:$E,"&lt;="&amp;report!C$2,box_tracking!$D:$D,B86)</f>
        <v>0</v>
      </c>
    </row>
    <row r="87" spans="4:4" x14ac:dyDescent="0.25">
      <c r="D87" s="13">
        <f>SUMIFS(box_tracking!$J:$J,box_tracking!$E:$E,"&gt;="&amp;report!C$1,box_tracking!$E:$E,"&lt;="&amp;report!C$2,box_tracking!$D:$D,B87)</f>
        <v>0</v>
      </c>
    </row>
    <row r="88" spans="4:4" x14ac:dyDescent="0.25">
      <c r="D88" s="13">
        <f>SUMIFS(box_tracking!$J:$J,box_tracking!$E:$E,"&gt;="&amp;report!C$1,box_tracking!$E:$E,"&lt;="&amp;report!C$2,box_tracking!$D:$D,B88)</f>
        <v>0</v>
      </c>
    </row>
    <row r="89" spans="4:4" x14ac:dyDescent="0.25">
      <c r="D89" s="13">
        <f>SUMIFS(box_tracking!$J:$J,box_tracking!$E:$E,"&gt;="&amp;report!C$1,box_tracking!$E:$E,"&lt;="&amp;report!C$2,box_tracking!$D:$D,B89)</f>
        <v>0</v>
      </c>
    </row>
    <row r="90" spans="4:4" x14ac:dyDescent="0.25">
      <c r="D90" s="13">
        <f>SUMIFS(box_tracking!$J:$J,box_tracking!$E:$E,"&gt;="&amp;report!C$1,box_tracking!$E:$E,"&lt;="&amp;report!C$2,box_tracking!$D:$D,B90)</f>
        <v>0</v>
      </c>
    </row>
    <row r="91" spans="4:4" x14ac:dyDescent="0.25">
      <c r="D91" s="13">
        <f>SUMIFS(box_tracking!$J:$J,box_tracking!$E:$E,"&gt;="&amp;report!C$1,box_tracking!$E:$E,"&lt;="&amp;report!C$2,box_tracking!$D:$D,B91)</f>
        <v>0</v>
      </c>
    </row>
    <row r="92" spans="4:4" x14ac:dyDescent="0.25">
      <c r="D92" s="13">
        <f>SUMIFS(box_tracking!$J:$J,box_tracking!$E:$E,"&gt;="&amp;report!C$1,box_tracking!$E:$E,"&lt;="&amp;report!C$2,box_tracking!$D:$D,B92)</f>
        <v>0</v>
      </c>
    </row>
    <row r="93" spans="4:4" x14ac:dyDescent="0.25">
      <c r="D93" s="13">
        <f>SUMIFS(box_tracking!$J:$J,box_tracking!$E:$E,"&gt;="&amp;report!C$1,box_tracking!$E:$E,"&lt;="&amp;report!C$2,box_tracking!$D:$D,B93)</f>
        <v>0</v>
      </c>
    </row>
    <row r="94" spans="4:4" x14ac:dyDescent="0.25">
      <c r="D94" s="13">
        <f>SUMIFS(box_tracking!$J:$J,box_tracking!$E:$E,"&gt;="&amp;report!C$1,box_tracking!$E:$E,"&lt;="&amp;report!C$2,box_tracking!$D:$D,B94)</f>
        <v>0</v>
      </c>
    </row>
    <row r="95" spans="4:4" x14ac:dyDescent="0.25">
      <c r="D95" s="13">
        <f>SUMIFS(box_tracking!$J:$J,box_tracking!$E:$E,"&gt;="&amp;report!C$1,box_tracking!$E:$E,"&lt;="&amp;report!C$2,box_tracking!$D:$D,B95)</f>
        <v>0</v>
      </c>
    </row>
    <row r="96" spans="4:4" x14ac:dyDescent="0.25">
      <c r="D96" s="13">
        <f>SUMIFS(box_tracking!$J:$J,box_tracking!$E:$E,"&gt;="&amp;report!C$1,box_tracking!$E:$E,"&lt;="&amp;report!C$2,box_tracking!$D:$D,B96)</f>
        <v>0</v>
      </c>
    </row>
    <row r="97" spans="4:4" x14ac:dyDescent="0.25">
      <c r="D97" s="13">
        <f>SUMIFS(box_tracking!$J:$J,box_tracking!$E:$E,"&gt;="&amp;report!C$1,box_tracking!$E:$E,"&lt;="&amp;report!C$2,box_tracking!$D:$D,B97)</f>
        <v>0</v>
      </c>
    </row>
    <row r="98" spans="4:4" x14ac:dyDescent="0.25">
      <c r="D98" s="13">
        <f>SUMIFS(box_tracking!$J:$J,box_tracking!$E:$E,"&gt;="&amp;report!C$1,box_tracking!$E:$E,"&lt;="&amp;report!C$2,box_tracking!$D:$D,B98)</f>
        <v>0</v>
      </c>
    </row>
    <row r="99" spans="4:4" x14ac:dyDescent="0.25">
      <c r="D99" s="13">
        <f>SUMIFS(box_tracking!$J:$J,box_tracking!$E:$E,"&gt;="&amp;report!C$1,box_tracking!$E:$E,"&lt;="&amp;report!C$2,box_tracking!$D:$D,B99)</f>
        <v>0</v>
      </c>
    </row>
    <row r="100" spans="4:4" x14ac:dyDescent="0.25">
      <c r="D100" s="13">
        <f>SUMIFS(box_tracking!$J:$J,box_tracking!$E:$E,"&gt;="&amp;report!C$1,box_tracking!$E:$E,"&lt;="&amp;report!C$2,box_tracking!$D:$D,B100)</f>
        <v>0</v>
      </c>
    </row>
    <row r="101" spans="4:4" x14ac:dyDescent="0.25">
      <c r="D101" s="13">
        <f>SUMIFS(box_tracking!$J:$J,box_tracking!$E:$E,"&gt;="&amp;report!C$1,box_tracking!$E:$E,"&lt;="&amp;report!C$2,box_tracking!$D:$D,B101)</f>
        <v>0</v>
      </c>
    </row>
    <row r="102" spans="4:4" x14ac:dyDescent="0.25">
      <c r="D102" s="13">
        <f>SUMIFS(box_tracking!$J:$J,box_tracking!$E:$E,"&gt;="&amp;report!C$1,box_tracking!$E:$E,"&lt;="&amp;report!C$2,box_tracking!$D:$D,B102)</f>
        <v>0</v>
      </c>
    </row>
    <row r="103" spans="4:4" x14ac:dyDescent="0.25">
      <c r="D103" s="13">
        <f>SUMIFS(box_tracking!$J:$J,box_tracking!$E:$E,"&gt;="&amp;report!C$1,box_tracking!$E:$E,"&lt;="&amp;report!C$2,box_tracking!$D:$D,B103)</f>
        <v>0</v>
      </c>
    </row>
    <row r="104" spans="4:4" x14ac:dyDescent="0.25">
      <c r="D104" s="13">
        <f>SUMIFS(box_tracking!$J:$J,box_tracking!$E:$E,"&gt;="&amp;report!C$1,box_tracking!$E:$E,"&lt;="&amp;report!C$2,box_tracking!$D:$D,B104)</f>
        <v>0</v>
      </c>
    </row>
    <row r="105" spans="4:4" x14ac:dyDescent="0.25">
      <c r="D105" s="13">
        <f>SUMIFS(box_tracking!$J:$J,box_tracking!$E:$E,"&gt;="&amp;report!C$1,box_tracking!$E:$E,"&lt;="&amp;report!C$2,box_tracking!$D:$D,B105)</f>
        <v>0</v>
      </c>
    </row>
    <row r="106" spans="4:4" x14ac:dyDescent="0.25">
      <c r="D106" s="13">
        <f>SUMIFS(box_tracking!$J:$J,box_tracking!$E:$E,"&gt;="&amp;report!C$1,box_tracking!$E:$E,"&lt;="&amp;report!C$2,box_tracking!$D:$D,B106)</f>
        <v>0</v>
      </c>
    </row>
    <row r="107" spans="4:4" x14ac:dyDescent="0.25">
      <c r="D107" s="13">
        <f>SUMIFS(box_tracking!$J:$J,box_tracking!$E:$E,"&gt;="&amp;report!C$1,box_tracking!$E:$E,"&lt;="&amp;report!C$2,box_tracking!$D:$D,B107)</f>
        <v>0</v>
      </c>
    </row>
    <row r="108" spans="4:4" x14ac:dyDescent="0.25">
      <c r="D108" s="13">
        <f>SUMIFS(box_tracking!$J:$J,box_tracking!$E:$E,"&gt;="&amp;report!C$1,box_tracking!$E:$E,"&lt;="&amp;report!C$2,box_tracking!$D:$D,B108)</f>
        <v>0</v>
      </c>
    </row>
    <row r="109" spans="4:4" x14ac:dyDescent="0.25">
      <c r="D109" s="13">
        <f>SUMIFS(box_tracking!$J:$J,box_tracking!$E:$E,"&gt;="&amp;report!C$1,box_tracking!$E:$E,"&lt;="&amp;report!C$2,box_tracking!$D:$D,B109)</f>
        <v>0</v>
      </c>
    </row>
    <row r="110" spans="4:4" x14ac:dyDescent="0.25">
      <c r="D110" s="13">
        <f>SUMIFS(box_tracking!$J:$J,box_tracking!$E:$E,"&gt;="&amp;report!C$1,box_tracking!$E:$E,"&lt;="&amp;report!C$2,box_tracking!$D:$D,B110)</f>
        <v>0</v>
      </c>
    </row>
    <row r="111" spans="4:4" x14ac:dyDescent="0.25">
      <c r="D111" s="13">
        <f>SUMIFS(box_tracking!$J:$J,box_tracking!$E:$E,"&gt;="&amp;report!C$1,box_tracking!$E:$E,"&lt;="&amp;report!C$2,box_tracking!$D:$D,B111)</f>
        <v>0</v>
      </c>
    </row>
    <row r="112" spans="4:4" x14ac:dyDescent="0.25">
      <c r="D112" s="13">
        <f>SUMIFS(box_tracking!$J:$J,box_tracking!$E:$E,"&gt;="&amp;report!C$1,box_tracking!$E:$E,"&lt;="&amp;report!C$2,box_tracking!$D:$D,B112)</f>
        <v>0</v>
      </c>
    </row>
    <row r="113" spans="4:4" x14ac:dyDescent="0.25">
      <c r="D113" s="13">
        <f>SUMIFS(box_tracking!$J:$J,box_tracking!$E:$E,"&gt;="&amp;report!C$1,box_tracking!$E:$E,"&lt;="&amp;report!C$2,box_tracking!$D:$D,B113)</f>
        <v>0</v>
      </c>
    </row>
    <row r="114" spans="4:4" x14ac:dyDescent="0.25">
      <c r="D114" s="13">
        <f>SUMIFS(box_tracking!$J:$J,box_tracking!$E:$E,"&gt;="&amp;report!C$1,box_tracking!$E:$E,"&lt;="&amp;report!C$2,box_tracking!$D:$D,B114)</f>
        <v>0</v>
      </c>
    </row>
    <row r="115" spans="4:4" x14ac:dyDescent="0.25">
      <c r="D115" s="13">
        <f>SUMIFS(box_tracking!$J:$J,box_tracking!$E:$E,"&gt;="&amp;report!C$1,box_tracking!$E:$E,"&lt;="&amp;report!C$2,box_tracking!$D:$D,B115)</f>
        <v>0</v>
      </c>
    </row>
    <row r="116" spans="4:4" x14ac:dyDescent="0.25">
      <c r="D116" s="13">
        <f>SUMIFS(box_tracking!$J:$J,box_tracking!$E:$E,"&gt;="&amp;report!C$1,box_tracking!$E:$E,"&lt;="&amp;report!C$2,box_tracking!$D:$D,B116)</f>
        <v>0</v>
      </c>
    </row>
    <row r="117" spans="4:4" x14ac:dyDescent="0.25">
      <c r="D117" s="13">
        <f>SUMIFS(box_tracking!$J:$J,box_tracking!$E:$E,"&gt;="&amp;report!C$1,box_tracking!$E:$E,"&lt;="&amp;report!C$2,box_tracking!$D:$D,B117)</f>
        <v>0</v>
      </c>
    </row>
    <row r="118" spans="4:4" x14ac:dyDescent="0.25">
      <c r="D118" s="13">
        <f>SUMIFS(box_tracking!$J:$J,box_tracking!$E:$E,"&gt;="&amp;report!C$1,box_tracking!$E:$E,"&lt;="&amp;report!C$2,box_tracking!$D:$D,B118)</f>
        <v>0</v>
      </c>
    </row>
    <row r="119" spans="4:4" x14ac:dyDescent="0.25">
      <c r="D119" s="13">
        <f>SUMIFS(box_tracking!$J:$J,box_tracking!$E:$E,"&gt;="&amp;report!C$1,box_tracking!$E:$E,"&lt;="&amp;report!C$2,box_tracking!$D:$D,B119)</f>
        <v>0</v>
      </c>
    </row>
    <row r="120" spans="4:4" x14ac:dyDescent="0.25">
      <c r="D120" s="13">
        <f>SUMIFS(box_tracking!$J:$J,box_tracking!$E:$E,"&gt;="&amp;report!C$1,box_tracking!$E:$E,"&lt;="&amp;report!C$2,box_tracking!$D:$D,B120)</f>
        <v>0</v>
      </c>
    </row>
    <row r="121" spans="4:4" x14ac:dyDescent="0.25">
      <c r="D121" s="13">
        <f>SUMIFS(box_tracking!$J:$J,box_tracking!$E:$E,"&gt;="&amp;report!C$1,box_tracking!$E:$E,"&lt;="&amp;report!C$2,box_tracking!$D:$D,B121)</f>
        <v>0</v>
      </c>
    </row>
    <row r="122" spans="4:4" x14ac:dyDescent="0.25">
      <c r="D122" s="13">
        <f>SUMIFS(box_tracking!$J:$J,box_tracking!$E:$E,"&gt;="&amp;report!C$1,box_tracking!$E:$E,"&lt;="&amp;report!C$2,box_tracking!$D:$D,B122)</f>
        <v>0</v>
      </c>
    </row>
    <row r="123" spans="4:4" x14ac:dyDescent="0.25">
      <c r="D123" s="13">
        <f>SUMIFS(box_tracking!$J:$J,box_tracking!$E:$E,"&gt;="&amp;report!C$1,box_tracking!$E:$E,"&lt;="&amp;report!C$2,box_tracking!$D:$D,B123)</f>
        <v>0</v>
      </c>
    </row>
    <row r="124" spans="4:4" x14ac:dyDescent="0.25">
      <c r="D124" s="13">
        <f>SUMIFS(box_tracking!$J:$J,box_tracking!$E:$E,"&gt;="&amp;report!C$1,box_tracking!$E:$E,"&lt;="&amp;report!C$2,box_tracking!$D:$D,B124)</f>
        <v>0</v>
      </c>
    </row>
    <row r="125" spans="4:4" x14ac:dyDescent="0.25">
      <c r="D125" s="13">
        <f>SUMIFS(box_tracking!$J:$J,box_tracking!$E:$E,"&gt;="&amp;report!C$1,box_tracking!$E:$E,"&lt;="&amp;report!C$2,box_tracking!$D:$D,B125)</f>
        <v>0</v>
      </c>
    </row>
    <row r="126" spans="4:4" x14ac:dyDescent="0.25">
      <c r="D126" s="13">
        <f>SUMIFS(box_tracking!$J:$J,box_tracking!$E:$E,"&gt;="&amp;report!C$1,box_tracking!$E:$E,"&lt;="&amp;report!C$2,box_tracking!$D:$D,B126)</f>
        <v>0</v>
      </c>
    </row>
    <row r="127" spans="4:4" x14ac:dyDescent="0.25">
      <c r="D127" s="13">
        <f>SUMIFS(box_tracking!$J:$J,box_tracking!$E:$E,"&gt;="&amp;report!C$1,box_tracking!$E:$E,"&lt;="&amp;report!C$2,box_tracking!$D:$D,B127)</f>
        <v>0</v>
      </c>
    </row>
    <row r="128" spans="4:4" x14ac:dyDescent="0.25">
      <c r="D128" s="13">
        <f>SUMIFS(box_tracking!$J:$J,box_tracking!$E:$E,"&gt;="&amp;report!C$1,box_tracking!$E:$E,"&lt;="&amp;report!C$2,box_tracking!$D:$D,B128)</f>
        <v>0</v>
      </c>
    </row>
    <row r="129" spans="4:4" x14ac:dyDescent="0.25">
      <c r="D129" s="13">
        <f>SUMIFS(box_tracking!$J:$J,box_tracking!$E:$E,"&gt;="&amp;report!C$1,box_tracking!$E:$E,"&lt;="&amp;report!C$2,box_tracking!$D:$D,B129)</f>
        <v>0</v>
      </c>
    </row>
    <row r="130" spans="4:4" x14ac:dyDescent="0.25">
      <c r="D130" s="13">
        <f>SUMIFS(box_tracking!$J:$J,box_tracking!$E:$E,"&gt;="&amp;report!C$1,box_tracking!$E:$E,"&lt;="&amp;report!C$2,box_tracking!$D:$D,B130)</f>
        <v>0</v>
      </c>
    </row>
    <row r="131" spans="4:4" x14ac:dyDescent="0.25">
      <c r="D131" s="13">
        <f>SUMIFS(box_tracking!$J:$J,box_tracking!$E:$E,"&gt;="&amp;report!C$1,box_tracking!$E:$E,"&lt;="&amp;report!C$2,box_tracking!$D:$D,B131)</f>
        <v>0</v>
      </c>
    </row>
    <row r="132" spans="4:4" x14ac:dyDescent="0.25">
      <c r="D132" s="13">
        <f>SUMIFS(box_tracking!$J:$J,box_tracking!$E:$E,"&gt;="&amp;report!C$1,box_tracking!$E:$E,"&lt;="&amp;report!C$2,box_tracking!$D:$D,B132)</f>
        <v>0</v>
      </c>
    </row>
    <row r="133" spans="4:4" x14ac:dyDescent="0.25">
      <c r="D133" s="13">
        <f>SUMIFS(box_tracking!$J:$J,box_tracking!$E:$E,"&gt;="&amp;report!C$1,box_tracking!$E:$E,"&lt;="&amp;report!C$2,box_tracking!$D:$D,B133)</f>
        <v>0</v>
      </c>
    </row>
    <row r="134" spans="4:4" x14ac:dyDescent="0.25">
      <c r="D134" s="13">
        <f>SUMIFS(box_tracking!$J:$J,box_tracking!$E:$E,"&gt;="&amp;report!C$1,box_tracking!$E:$E,"&lt;="&amp;report!C$2,box_tracking!$D:$D,B134)</f>
        <v>0</v>
      </c>
    </row>
    <row r="135" spans="4:4" x14ac:dyDescent="0.25">
      <c r="D135" s="13">
        <f>SUMIFS(box_tracking!$J:$J,box_tracking!$E:$E,"&gt;="&amp;report!C$1,box_tracking!$E:$E,"&lt;="&amp;report!C$2,box_tracking!$D:$D,B135)</f>
        <v>0</v>
      </c>
    </row>
    <row r="136" spans="4:4" x14ac:dyDescent="0.25">
      <c r="D136" s="13">
        <f>SUMIFS(box_tracking!$J:$J,box_tracking!$E:$E,"&gt;="&amp;report!C$1,box_tracking!$E:$E,"&lt;="&amp;report!C$2,box_tracking!$D:$D,B136)</f>
        <v>0</v>
      </c>
    </row>
    <row r="137" spans="4:4" x14ac:dyDescent="0.25">
      <c r="D137" s="13">
        <f>SUMIFS(box_tracking!$J:$J,box_tracking!$E:$E,"&gt;="&amp;report!C$1,box_tracking!$E:$E,"&lt;="&amp;report!C$2,box_tracking!$D:$D,B137)</f>
        <v>0</v>
      </c>
    </row>
    <row r="138" spans="4:4" x14ac:dyDescent="0.25">
      <c r="D138" s="13">
        <f>SUMIFS(box_tracking!$J:$J,box_tracking!$E:$E,"&gt;="&amp;report!C$1,box_tracking!$E:$E,"&lt;="&amp;report!C$2,box_tracking!$D:$D,B138)</f>
        <v>0</v>
      </c>
    </row>
    <row r="139" spans="4:4" x14ac:dyDescent="0.25">
      <c r="D139" s="13">
        <f>SUMIFS(box_tracking!$J:$J,box_tracking!$E:$E,"&gt;="&amp;report!C$1,box_tracking!$E:$E,"&lt;="&amp;report!C$2,box_tracking!$D:$D,B139)</f>
        <v>0</v>
      </c>
    </row>
    <row r="140" spans="4:4" x14ac:dyDescent="0.25">
      <c r="D140" s="13">
        <f>SUMIFS(box_tracking!$J:$J,box_tracking!$E:$E,"&gt;="&amp;report!C$1,box_tracking!$E:$E,"&lt;="&amp;report!C$2,box_tracking!$D:$D,B140)</f>
        <v>0</v>
      </c>
    </row>
    <row r="141" spans="4:4" x14ac:dyDescent="0.25">
      <c r="D141" s="13">
        <f>SUMIFS(box_tracking!$J:$J,box_tracking!$E:$E,"&gt;="&amp;report!C$1,box_tracking!$E:$E,"&lt;="&amp;report!C$2,box_tracking!$D:$D,B141)</f>
        <v>0</v>
      </c>
    </row>
    <row r="142" spans="4:4" x14ac:dyDescent="0.25">
      <c r="D142" s="13">
        <f>SUMIFS(box_tracking!$J:$J,box_tracking!$E:$E,"&gt;="&amp;report!C$1,box_tracking!$E:$E,"&lt;="&amp;report!C$2,box_tracking!$D:$D,B142)</f>
        <v>0</v>
      </c>
    </row>
    <row r="143" spans="4:4" x14ac:dyDescent="0.25">
      <c r="D143" s="13">
        <f>SUMIFS(box_tracking!$J:$J,box_tracking!$E:$E,"&gt;="&amp;report!C$1,box_tracking!$E:$E,"&lt;="&amp;report!C$2,box_tracking!$D:$D,B143)</f>
        <v>0</v>
      </c>
    </row>
    <row r="144" spans="4:4" x14ac:dyDescent="0.25">
      <c r="D144" s="13">
        <f>SUMIFS(box_tracking!$J:$J,box_tracking!$E:$E,"&gt;="&amp;report!C$1,box_tracking!$E:$E,"&lt;="&amp;report!C$2,box_tracking!$D:$D,B144)</f>
        <v>0</v>
      </c>
    </row>
    <row r="145" spans="4:4" x14ac:dyDescent="0.25">
      <c r="D145" s="13">
        <f>SUMIFS(box_tracking!$J:$J,box_tracking!$E:$E,"&gt;="&amp;report!C$1,box_tracking!$E:$E,"&lt;="&amp;report!C$2,box_tracking!$D:$D,B145)</f>
        <v>0</v>
      </c>
    </row>
    <row r="146" spans="4:4" x14ac:dyDescent="0.25">
      <c r="D146" s="13">
        <f>SUMIFS(box_tracking!$J:$J,box_tracking!$E:$E,"&gt;="&amp;report!C$1,box_tracking!$E:$E,"&lt;="&amp;report!C$2,box_tracking!$D:$D,B146)</f>
        <v>0</v>
      </c>
    </row>
    <row r="147" spans="4:4" x14ac:dyDescent="0.25">
      <c r="D147" s="13">
        <f>SUMIFS(box_tracking!$J:$J,box_tracking!$E:$E,"&gt;="&amp;report!C$1,box_tracking!$E:$E,"&lt;="&amp;report!C$2,box_tracking!$D:$D,B147)</f>
        <v>0</v>
      </c>
    </row>
    <row r="148" spans="4:4" x14ac:dyDescent="0.25">
      <c r="D148" s="13">
        <f>SUMIFS(box_tracking!$J:$J,box_tracking!$E:$E,"&gt;="&amp;report!C$1,box_tracking!$E:$E,"&lt;="&amp;report!C$2,box_tracking!$D:$D,B148)</f>
        <v>0</v>
      </c>
    </row>
    <row r="149" spans="4:4" x14ac:dyDescent="0.25">
      <c r="D149" s="13">
        <f>SUMIFS(box_tracking!$J:$J,box_tracking!$E:$E,"&gt;="&amp;report!C$1,box_tracking!$E:$E,"&lt;="&amp;report!C$2,box_tracking!$D:$D,B149)</f>
        <v>0</v>
      </c>
    </row>
    <row r="150" spans="4:4" x14ac:dyDescent="0.25">
      <c r="D150" s="13">
        <f>SUMIFS(box_tracking!$J:$J,box_tracking!$E:$E,"&gt;="&amp;report!C$1,box_tracking!$E:$E,"&lt;="&amp;report!C$2,box_tracking!$D:$D,B150)</f>
        <v>0</v>
      </c>
    </row>
    <row r="151" spans="4:4" x14ac:dyDescent="0.25">
      <c r="D151" s="13">
        <f>SUMIFS(box_tracking!$J:$J,box_tracking!$E:$E,"&gt;="&amp;report!C$1,box_tracking!$E:$E,"&lt;="&amp;report!C$2,box_tracking!$D:$D,B151)</f>
        <v>0</v>
      </c>
    </row>
    <row r="152" spans="4:4" x14ac:dyDescent="0.25">
      <c r="D152" s="13">
        <f>SUMIFS(box_tracking!$J:$J,box_tracking!$E:$E,"&gt;="&amp;report!C$1,box_tracking!$E:$E,"&lt;="&amp;report!C$2,box_tracking!$D:$D,B152)</f>
        <v>0</v>
      </c>
    </row>
    <row r="153" spans="4:4" x14ac:dyDescent="0.25">
      <c r="D153" s="13">
        <f>SUMIFS(box_tracking!$J:$J,box_tracking!$E:$E,"&gt;="&amp;report!C$1,box_tracking!$E:$E,"&lt;="&amp;report!C$2,box_tracking!$D:$D,B153)</f>
        <v>0</v>
      </c>
    </row>
    <row r="154" spans="4:4" x14ac:dyDescent="0.25">
      <c r="D154" s="13">
        <f>SUMIFS(box_tracking!$J:$J,box_tracking!$E:$E,"&gt;="&amp;report!C$1,box_tracking!$E:$E,"&lt;="&amp;report!C$2,box_tracking!$D:$D,B154)</f>
        <v>0</v>
      </c>
    </row>
    <row r="155" spans="4:4" x14ac:dyDescent="0.25">
      <c r="D155" s="13">
        <f>SUMIFS(box_tracking!$J:$J,box_tracking!$E:$E,"&gt;="&amp;report!C$1,box_tracking!$E:$E,"&lt;="&amp;report!C$2,box_tracking!$D:$D,B155)</f>
        <v>0</v>
      </c>
    </row>
    <row r="156" spans="4:4" x14ac:dyDescent="0.25">
      <c r="D156" s="13">
        <f>SUMIFS(box_tracking!$J:$J,box_tracking!$E:$E,"&gt;="&amp;report!C$1,box_tracking!$E:$E,"&lt;="&amp;report!C$2,box_tracking!$D:$D,B156)</f>
        <v>0</v>
      </c>
    </row>
    <row r="157" spans="4:4" x14ac:dyDescent="0.25">
      <c r="D157" s="13">
        <f>SUMIFS(box_tracking!$J:$J,box_tracking!$E:$E,"&gt;="&amp;report!C$1,box_tracking!$E:$E,"&lt;="&amp;report!C$2,box_tracking!$D:$D,B157)</f>
        <v>0</v>
      </c>
    </row>
    <row r="158" spans="4:4" x14ac:dyDescent="0.25">
      <c r="D158" s="13">
        <f>SUMIFS(box_tracking!$J:$J,box_tracking!$E:$E,"&gt;="&amp;report!C$1,box_tracking!$E:$E,"&lt;="&amp;report!C$2,box_tracking!$D:$D,B158)</f>
        <v>0</v>
      </c>
    </row>
    <row r="159" spans="4:4" x14ac:dyDescent="0.25">
      <c r="D159" s="13">
        <f>SUMIFS(box_tracking!$J:$J,box_tracking!$E:$E,"&gt;="&amp;report!C$1,box_tracking!$E:$E,"&lt;="&amp;report!C$2,box_tracking!$D:$D,B159)</f>
        <v>0</v>
      </c>
    </row>
    <row r="160" spans="4:4" x14ac:dyDescent="0.25">
      <c r="D160" s="13">
        <f>SUMIFS(box_tracking!$J:$J,box_tracking!$E:$E,"&gt;="&amp;report!C$1,box_tracking!$E:$E,"&lt;="&amp;report!C$2,box_tracking!$D:$D,B160)</f>
        <v>0</v>
      </c>
    </row>
    <row r="161" spans="4:4" x14ac:dyDescent="0.25">
      <c r="D161" s="13">
        <f>SUMIFS(box_tracking!$J:$J,box_tracking!$E:$E,"&gt;="&amp;report!C$1,box_tracking!$E:$E,"&lt;="&amp;report!C$2,box_tracking!$D:$D,B161)</f>
        <v>0</v>
      </c>
    </row>
    <row r="162" spans="4:4" x14ac:dyDescent="0.25">
      <c r="D162" s="13">
        <f>SUMIFS(box_tracking!$J:$J,box_tracking!$E:$E,"&gt;="&amp;report!C$1,box_tracking!$E:$E,"&lt;="&amp;report!C$2,box_tracking!$D:$D,B162)</f>
        <v>0</v>
      </c>
    </row>
    <row r="163" spans="4:4" x14ac:dyDescent="0.25">
      <c r="D163" s="13">
        <f>SUMIFS(box_tracking!$J:$J,box_tracking!$E:$E,"&gt;="&amp;report!C$1,box_tracking!$E:$E,"&lt;="&amp;report!C$2,box_tracking!$D:$D,B163)</f>
        <v>0</v>
      </c>
    </row>
    <row r="164" spans="4:4" x14ac:dyDescent="0.25">
      <c r="D164" s="13">
        <f>SUMIFS(box_tracking!$J:$J,box_tracking!$E:$E,"&gt;="&amp;report!C$1,box_tracking!$E:$E,"&lt;="&amp;report!C$2,box_tracking!$D:$D,B164)</f>
        <v>0</v>
      </c>
    </row>
    <row r="165" spans="4:4" x14ac:dyDescent="0.25">
      <c r="D165" s="13">
        <f>SUMIFS(box_tracking!$J:$J,box_tracking!$E:$E,"&gt;="&amp;report!C$1,box_tracking!$E:$E,"&lt;="&amp;report!C$2,box_tracking!$D:$D,B165)</f>
        <v>0</v>
      </c>
    </row>
    <row r="166" spans="4:4" x14ac:dyDescent="0.25">
      <c r="D166" s="13">
        <f>SUMIFS(box_tracking!$J:$J,box_tracking!$E:$E,"&gt;="&amp;report!C$1,box_tracking!$E:$E,"&lt;="&amp;report!C$2,box_tracking!$D:$D,B166)</f>
        <v>0</v>
      </c>
    </row>
    <row r="167" spans="4:4" x14ac:dyDescent="0.25">
      <c r="D167" s="13">
        <f>SUMIFS(box_tracking!$J:$J,box_tracking!$E:$E,"&gt;="&amp;report!C$1,box_tracking!$E:$E,"&lt;="&amp;report!C$2,box_tracking!$D:$D,B167)</f>
        <v>0</v>
      </c>
    </row>
    <row r="168" spans="4:4" x14ac:dyDescent="0.25">
      <c r="D168" s="13">
        <f>SUMIFS(box_tracking!$J:$J,box_tracking!$E:$E,"&gt;="&amp;report!C$1,box_tracking!$E:$E,"&lt;="&amp;report!C$2,box_tracking!$D:$D,B168)</f>
        <v>0</v>
      </c>
    </row>
    <row r="169" spans="4:4" x14ac:dyDescent="0.25">
      <c r="D169" s="13">
        <f>SUMIFS(box_tracking!$J:$J,box_tracking!$E:$E,"&gt;="&amp;report!C$1,box_tracking!$E:$E,"&lt;="&amp;report!C$2,box_tracking!$D:$D,B169)</f>
        <v>0</v>
      </c>
    </row>
    <row r="170" spans="4:4" x14ac:dyDescent="0.25">
      <c r="D170" s="13">
        <f>SUMIFS(box_tracking!$J:$J,box_tracking!$E:$E,"&gt;="&amp;report!C$1,box_tracking!$E:$E,"&lt;="&amp;report!C$2,box_tracking!$D:$D,B170)</f>
        <v>0</v>
      </c>
    </row>
    <row r="171" spans="4:4" x14ac:dyDescent="0.25">
      <c r="D171" s="13">
        <f>SUMIFS(box_tracking!$J:$J,box_tracking!$E:$E,"&gt;="&amp;report!C$1,box_tracking!$E:$E,"&lt;="&amp;report!C$2,box_tracking!$D:$D,B171)</f>
        <v>0</v>
      </c>
    </row>
    <row r="172" spans="4:4" x14ac:dyDescent="0.25">
      <c r="D172" s="13">
        <f>SUMIFS(box_tracking!$J:$J,box_tracking!$E:$E,"&gt;="&amp;report!C$1,box_tracking!$E:$E,"&lt;="&amp;report!C$2,box_tracking!$D:$D,B172)</f>
        <v>0</v>
      </c>
    </row>
    <row r="173" spans="4:4" x14ac:dyDescent="0.25">
      <c r="D173" s="13">
        <f>SUMIFS(box_tracking!$J:$J,box_tracking!$E:$E,"&gt;="&amp;report!C$1,box_tracking!$E:$E,"&lt;="&amp;report!C$2,box_tracking!$D:$D,B173)</f>
        <v>0</v>
      </c>
    </row>
    <row r="174" spans="4:4" x14ac:dyDescent="0.25">
      <c r="D174" s="13">
        <f>SUMIFS(box_tracking!$J:$J,box_tracking!$E:$E,"&gt;="&amp;report!C$1,box_tracking!$E:$E,"&lt;="&amp;report!C$2,box_tracking!$D:$D,B174)</f>
        <v>0</v>
      </c>
    </row>
    <row r="175" spans="4:4" x14ac:dyDescent="0.25">
      <c r="D175" s="13">
        <f>SUMIFS(box_tracking!$J:$J,box_tracking!$E:$E,"&gt;="&amp;report!C$1,box_tracking!$E:$E,"&lt;="&amp;report!C$2,box_tracking!$D:$D,B175)</f>
        <v>0</v>
      </c>
    </row>
    <row r="176" spans="4:4" x14ac:dyDescent="0.25">
      <c r="D176" s="13">
        <f>SUMIFS(box_tracking!$J:$J,box_tracking!$E:$E,"&gt;="&amp;report!C$1,box_tracking!$E:$E,"&lt;="&amp;report!C$2,box_tracking!$D:$D,B176)</f>
        <v>0</v>
      </c>
    </row>
    <row r="177" spans="4:4" x14ac:dyDescent="0.25">
      <c r="D177" s="13">
        <f>SUMIFS(box_tracking!$J:$J,box_tracking!$E:$E,"&gt;="&amp;report!C$1,box_tracking!$E:$E,"&lt;="&amp;report!C$2,box_tracking!$D:$D,B177)</f>
        <v>0</v>
      </c>
    </row>
    <row r="178" spans="4:4" x14ac:dyDescent="0.25">
      <c r="D178" s="13">
        <f>SUMIFS(box_tracking!$J:$J,box_tracking!$E:$E,"&gt;="&amp;report!C$1,box_tracking!$E:$E,"&lt;="&amp;report!C$2,box_tracking!$D:$D,B178)</f>
        <v>0</v>
      </c>
    </row>
    <row r="179" spans="4:4" x14ac:dyDescent="0.25">
      <c r="D179" s="13">
        <f>SUMIFS(box_tracking!$J:$J,box_tracking!$E:$E,"&gt;="&amp;report!C$1,box_tracking!$E:$E,"&lt;="&amp;report!C$2,box_tracking!$D:$D,B179)</f>
        <v>0</v>
      </c>
    </row>
    <row r="180" spans="4:4" x14ac:dyDescent="0.25">
      <c r="D180" s="13">
        <f>SUMIFS(box_tracking!$J:$J,box_tracking!$E:$E,"&gt;="&amp;report!C$1,box_tracking!$E:$E,"&lt;="&amp;report!C$2,box_tracking!$D:$D,B180)</f>
        <v>0</v>
      </c>
    </row>
    <row r="181" spans="4:4" x14ac:dyDescent="0.25">
      <c r="D181" s="13">
        <f>SUMIFS(box_tracking!$J:$J,box_tracking!$E:$E,"&gt;="&amp;report!C$1,box_tracking!$E:$E,"&lt;="&amp;report!C$2,box_tracking!$D:$D,B181)</f>
        <v>0</v>
      </c>
    </row>
    <row r="182" spans="4:4" x14ac:dyDescent="0.25">
      <c r="D182" s="13">
        <f>SUMIFS(box_tracking!$J:$J,box_tracking!$E:$E,"&gt;="&amp;report!C$1,box_tracking!$E:$E,"&lt;="&amp;report!C$2,box_tracking!$D:$D,B182)</f>
        <v>0</v>
      </c>
    </row>
    <row r="183" spans="4:4" x14ac:dyDescent="0.25">
      <c r="D183" s="13">
        <f>SUMIFS(box_tracking!$J:$J,box_tracking!$E:$E,"&gt;="&amp;report!C$1,box_tracking!$E:$E,"&lt;="&amp;report!C$2,box_tracking!$D:$D,B183)</f>
        <v>0</v>
      </c>
    </row>
    <row r="184" spans="4:4" x14ac:dyDescent="0.25">
      <c r="D184" s="13">
        <f>SUMIFS(box_tracking!$J:$J,box_tracking!$E:$E,"&gt;="&amp;report!C$1,box_tracking!$E:$E,"&lt;="&amp;report!C$2,box_tracking!$D:$D,B184)</f>
        <v>0</v>
      </c>
    </row>
    <row r="185" spans="4:4" x14ac:dyDescent="0.25">
      <c r="D185" s="13">
        <f>SUMIFS(box_tracking!$J:$J,box_tracking!$E:$E,"&gt;="&amp;report!C$1,box_tracking!$E:$E,"&lt;="&amp;report!C$2,box_tracking!$D:$D,B185)</f>
        <v>0</v>
      </c>
    </row>
    <row r="186" spans="4:4" x14ac:dyDescent="0.25">
      <c r="D186" s="13">
        <f>SUMIFS(box_tracking!$J:$J,box_tracking!$E:$E,"&gt;="&amp;report!C$1,box_tracking!$E:$E,"&lt;="&amp;report!C$2,box_tracking!$D:$D,B186)</f>
        <v>0</v>
      </c>
    </row>
    <row r="187" spans="4:4" x14ac:dyDescent="0.25">
      <c r="D187" s="13">
        <f>SUMIFS(box_tracking!$J:$J,box_tracking!$E:$E,"&gt;="&amp;report!C$1,box_tracking!$E:$E,"&lt;="&amp;report!C$2,box_tracking!$D:$D,B187)</f>
        <v>0</v>
      </c>
    </row>
    <row r="188" spans="4:4" x14ac:dyDescent="0.25">
      <c r="D188" s="13">
        <f>SUMIFS(box_tracking!$J:$J,box_tracking!$E:$E,"&gt;="&amp;report!C$1,box_tracking!$E:$E,"&lt;="&amp;report!C$2,box_tracking!$D:$D,B188)</f>
        <v>0</v>
      </c>
    </row>
    <row r="189" spans="4:4" x14ac:dyDescent="0.25">
      <c r="D189" s="13">
        <f>SUMIFS(box_tracking!$J:$J,box_tracking!$E:$E,"&gt;="&amp;report!C$1,box_tracking!$E:$E,"&lt;="&amp;report!C$2,box_tracking!$D:$D,B189)</f>
        <v>0</v>
      </c>
    </row>
    <row r="190" spans="4:4" x14ac:dyDescent="0.25">
      <c r="D190" s="13">
        <f>SUMIFS(box_tracking!$J:$J,box_tracking!$E:$E,"&gt;="&amp;report!C$1,box_tracking!$E:$E,"&lt;="&amp;report!C$2,box_tracking!$D:$D,B190)</f>
        <v>0</v>
      </c>
    </row>
    <row r="191" spans="4:4" x14ac:dyDescent="0.25">
      <c r="D191" s="13">
        <f>SUMIFS(box_tracking!$J:$J,box_tracking!$E:$E,"&gt;="&amp;report!C$1,box_tracking!$E:$E,"&lt;="&amp;report!C$2,box_tracking!$D:$D,B191)</f>
        <v>0</v>
      </c>
    </row>
    <row r="192" spans="4:4" x14ac:dyDescent="0.25">
      <c r="D192" s="13">
        <f>SUMIFS(box_tracking!$J:$J,box_tracking!$E:$E,"&gt;="&amp;report!C$1,box_tracking!$E:$E,"&lt;="&amp;report!C$2,box_tracking!$D:$D,B192)</f>
        <v>0</v>
      </c>
    </row>
    <row r="193" spans="4:4" x14ac:dyDescent="0.25">
      <c r="D193" s="13">
        <f>SUMIFS(box_tracking!$J:$J,box_tracking!$E:$E,"&gt;="&amp;report!C$1,box_tracking!$E:$E,"&lt;="&amp;report!C$2,box_tracking!$D:$D,B193)</f>
        <v>0</v>
      </c>
    </row>
    <row r="194" spans="4:4" x14ac:dyDescent="0.25">
      <c r="D194" s="13">
        <f>SUMIFS(box_tracking!$J:$J,box_tracking!$E:$E,"&gt;="&amp;report!C$1,box_tracking!$E:$E,"&lt;="&amp;report!C$2,box_tracking!$D:$D,B194)</f>
        <v>0</v>
      </c>
    </row>
    <row r="195" spans="4:4" x14ac:dyDescent="0.25">
      <c r="D195" s="13">
        <f>SUMIFS(box_tracking!$J:$J,box_tracking!$E:$E,"&gt;="&amp;report!C$1,box_tracking!$E:$E,"&lt;="&amp;report!C$2,box_tracking!$D:$D,B195)</f>
        <v>0</v>
      </c>
    </row>
    <row r="196" spans="4:4" x14ac:dyDescent="0.25">
      <c r="D196" s="13">
        <f>SUMIFS(box_tracking!$J:$J,box_tracking!$E:$E,"&gt;="&amp;report!C$1,box_tracking!$E:$E,"&lt;="&amp;report!C$2,box_tracking!$D:$D,B196)</f>
        <v>0</v>
      </c>
    </row>
    <row r="197" spans="4:4" x14ac:dyDescent="0.25">
      <c r="D197" s="13">
        <f>SUMIFS(box_tracking!$J:$J,box_tracking!$E:$E,"&gt;="&amp;report!C$1,box_tracking!$E:$E,"&lt;="&amp;report!C$2,box_tracking!$D:$D,B197)</f>
        <v>0</v>
      </c>
    </row>
    <row r="198" spans="4:4" x14ac:dyDescent="0.25">
      <c r="D198" s="13">
        <f>SUMIFS(box_tracking!$J:$J,box_tracking!$E:$E,"&gt;="&amp;report!C$1,box_tracking!$E:$E,"&lt;="&amp;report!C$2,box_tracking!$D:$D,B198)</f>
        <v>0</v>
      </c>
    </row>
    <row r="199" spans="4:4" x14ac:dyDescent="0.25">
      <c r="D199" s="13">
        <f>SUMIFS(box_tracking!$J:$J,box_tracking!$E:$E,"&gt;="&amp;report!C$1,box_tracking!$E:$E,"&lt;="&amp;report!C$2,box_tracking!$D:$D,B199)</f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R9"/>
  <sheetViews>
    <sheetView workbookViewId="0">
      <selection activeCell="C4" sqref="C4"/>
    </sheetView>
  </sheetViews>
  <sheetFormatPr defaultRowHeight="15" x14ac:dyDescent="0.25"/>
  <cols>
    <col min="2" max="2" width="17.28515625" bestFit="1" customWidth="1"/>
    <col min="3" max="3" width="9.85546875" bestFit="1" customWidth="1"/>
    <col min="4" max="4" width="9.85546875" customWidth="1"/>
    <col min="5" max="6" width="9.85546875" bestFit="1" customWidth="1"/>
    <col min="7" max="7" width="9.42578125" customWidth="1"/>
    <col min="8" max="8" width="10.140625" bestFit="1" customWidth="1"/>
    <col min="9" max="12" width="9.85546875" bestFit="1" customWidth="1"/>
    <col min="13" max="14" width="10.85546875" bestFit="1" customWidth="1"/>
    <col min="15" max="15" width="10.7109375" customWidth="1"/>
    <col min="16" max="16" width="10.7109375" bestFit="1" customWidth="1"/>
    <col min="18" max="18" width="9.7109375" bestFit="1" customWidth="1"/>
  </cols>
  <sheetData>
    <row r="1" spans="2:18" x14ac:dyDescent="0.25">
      <c r="B1" t="s">
        <v>55</v>
      </c>
      <c r="C1" s="14">
        <v>44197</v>
      </c>
      <c r="D1" s="14">
        <v>44197</v>
      </c>
      <c r="E1" s="14">
        <f>D1+31</f>
        <v>44228</v>
      </c>
      <c r="F1" s="14">
        <f>E1+28</f>
        <v>44256</v>
      </c>
      <c r="G1" s="14">
        <f>F1+31</f>
        <v>44287</v>
      </c>
      <c r="H1" s="14">
        <f>G1+30</f>
        <v>44317</v>
      </c>
      <c r="I1" s="14">
        <f>H1+31</f>
        <v>44348</v>
      </c>
      <c r="J1" s="14">
        <f>I1+30</f>
        <v>44378</v>
      </c>
      <c r="K1" s="14">
        <f>J1+31</f>
        <v>44409</v>
      </c>
      <c r="L1" s="14">
        <f>K1+31</f>
        <v>44440</v>
      </c>
      <c r="M1" s="14">
        <f>L1+30</f>
        <v>44470</v>
      </c>
      <c r="N1" s="14">
        <f>M1+31</f>
        <v>44501</v>
      </c>
      <c r="O1" s="14">
        <f>N1+30</f>
        <v>44531</v>
      </c>
      <c r="P1" s="14">
        <f>D1</f>
        <v>44197</v>
      </c>
    </row>
    <row r="2" spans="2:18" x14ac:dyDescent="0.25">
      <c r="B2" t="s">
        <v>56</v>
      </c>
      <c r="C2" s="14">
        <v>44561</v>
      </c>
      <c r="D2" s="14">
        <f>D1+30</f>
        <v>44227</v>
      </c>
      <c r="E2" s="14">
        <f>F1-1</f>
        <v>44255</v>
      </c>
      <c r="F2" s="14">
        <f>G1-1</f>
        <v>44286</v>
      </c>
      <c r="G2" s="14">
        <f t="shared" ref="G2:M2" si="0">H1-1</f>
        <v>44316</v>
      </c>
      <c r="H2" s="14">
        <f t="shared" si="0"/>
        <v>44347</v>
      </c>
      <c r="I2" s="14">
        <f t="shared" si="0"/>
        <v>44377</v>
      </c>
      <c r="J2" s="14">
        <f t="shared" si="0"/>
        <v>44408</v>
      </c>
      <c r="K2" s="14">
        <f t="shared" si="0"/>
        <v>44439</v>
      </c>
      <c r="L2" s="14">
        <f t="shared" si="0"/>
        <v>44469</v>
      </c>
      <c r="M2" s="14">
        <f t="shared" si="0"/>
        <v>44500</v>
      </c>
      <c r="N2" s="14">
        <f>N1+29</f>
        <v>44530</v>
      </c>
      <c r="O2" s="14">
        <f>O1+30</f>
        <v>44561</v>
      </c>
      <c r="P2" s="14">
        <f>O2</f>
        <v>44561</v>
      </c>
    </row>
    <row r="4" spans="2:18" x14ac:dyDescent="0.25">
      <c r="B4" t="s">
        <v>57</v>
      </c>
      <c r="C4">
        <f>SUMIFS(Customer_display!$J:$J,Customer_display!$E:$E,"&gt;="&amp;report!C1,Customer_display!$E:$E,"&lt;="&amp;report!C2)</f>
        <v>50</v>
      </c>
    </row>
    <row r="6" spans="2:18" x14ac:dyDescent="0.25">
      <c r="R6" s="14"/>
    </row>
    <row r="7" spans="2:18" x14ac:dyDescent="0.25">
      <c r="B7" t="s">
        <v>58</v>
      </c>
      <c r="C7">
        <f>SUMIFS(box_tracking!$J:$J,box_tracking!$E:$E,"&gt;="&amp;report!C1,box_tracking!$E:$E,"&lt;="&amp;report!C2,box_tracking!$C:$C,"Sent")</f>
        <v>380</v>
      </c>
    </row>
    <row r="9" spans="2:18" x14ac:dyDescent="0.25">
      <c r="R9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9"/>
  <sheetViews>
    <sheetView workbookViewId="0">
      <selection sqref="A1:M29"/>
    </sheetView>
  </sheetViews>
  <sheetFormatPr defaultRowHeight="15" x14ac:dyDescent="0.25"/>
  <cols>
    <col min="3" max="3" width="14" bestFit="1" customWidth="1"/>
    <col min="4" max="4" width="23.85546875" bestFit="1" customWidth="1"/>
    <col min="5" max="5" width="9.7109375" bestFit="1" customWidth="1"/>
    <col min="7" max="7" width="10.42578125" bestFit="1" customWidth="1"/>
    <col min="9" max="9" width="11.85546875" bestFit="1" customWidth="1"/>
    <col min="10" max="10" width="8.42578125" bestFit="1" customWidth="1"/>
    <col min="13" max="13" width="9.42578125" bestFit="1" customWidth="1"/>
  </cols>
  <sheetData>
    <row r="1" spans="1:13" x14ac:dyDescent="0.25">
      <c r="A1" t="s">
        <v>47</v>
      </c>
      <c r="B1" t="s">
        <v>1</v>
      </c>
      <c r="C1" t="s">
        <v>33</v>
      </c>
      <c r="D1" t="s">
        <v>91</v>
      </c>
      <c r="E1" s="8" t="s">
        <v>34</v>
      </c>
      <c r="F1" s="8"/>
      <c r="G1" s="13" t="s">
        <v>52</v>
      </c>
      <c r="H1" s="13" t="s">
        <v>53</v>
      </c>
      <c r="I1" s="13" t="s">
        <v>54</v>
      </c>
      <c r="J1" s="13" t="s">
        <v>51</v>
      </c>
      <c r="K1" s="12"/>
      <c r="M1" s="13"/>
    </row>
    <row r="2" spans="1:13" x14ac:dyDescent="0.25">
      <c r="A2">
        <v>1</v>
      </c>
      <c r="B2" t="s">
        <v>24</v>
      </c>
      <c r="C2" t="s">
        <v>49</v>
      </c>
      <c r="D2" t="s">
        <v>50</v>
      </c>
      <c r="E2" s="8">
        <v>44535</v>
      </c>
      <c r="F2" s="8"/>
      <c r="G2" s="13" t="s">
        <v>6</v>
      </c>
      <c r="H2" s="13" t="s">
        <v>11</v>
      </c>
      <c r="I2" s="13" t="s">
        <v>8</v>
      </c>
      <c r="J2" s="13">
        <v>10</v>
      </c>
      <c r="K2" s="12"/>
    </row>
    <row r="3" spans="1:13" x14ac:dyDescent="0.25">
      <c r="A3">
        <v>2</v>
      </c>
      <c r="B3" t="s">
        <v>25</v>
      </c>
      <c r="C3" t="s">
        <v>65</v>
      </c>
      <c r="D3" t="s">
        <v>50</v>
      </c>
      <c r="E3" s="8">
        <v>44201</v>
      </c>
      <c r="F3" s="8"/>
      <c r="G3" s="13" t="s">
        <v>6</v>
      </c>
      <c r="H3" s="13" t="s">
        <v>11</v>
      </c>
      <c r="I3" s="13" t="s">
        <v>8</v>
      </c>
      <c r="J3" s="13">
        <v>10</v>
      </c>
      <c r="K3" s="12"/>
    </row>
    <row r="4" spans="1:13" x14ac:dyDescent="0.25">
      <c r="A4">
        <v>3</v>
      </c>
      <c r="B4" t="s">
        <v>26</v>
      </c>
      <c r="C4" t="s">
        <v>48</v>
      </c>
      <c r="D4" t="s">
        <v>64</v>
      </c>
      <c r="E4" s="8">
        <v>44326</v>
      </c>
      <c r="F4" s="8"/>
      <c r="G4" s="13" t="s">
        <v>6</v>
      </c>
      <c r="H4" s="13" t="s">
        <v>11</v>
      </c>
      <c r="I4" s="13" t="s">
        <v>8</v>
      </c>
      <c r="J4" s="13">
        <v>10</v>
      </c>
      <c r="K4" s="12"/>
    </row>
    <row r="5" spans="1:13" x14ac:dyDescent="0.25">
      <c r="A5">
        <v>4</v>
      </c>
      <c r="B5" t="s">
        <v>27</v>
      </c>
      <c r="C5" t="s">
        <v>49</v>
      </c>
      <c r="D5" t="s">
        <v>50</v>
      </c>
      <c r="E5" s="8">
        <v>44346</v>
      </c>
      <c r="F5" s="8"/>
      <c r="G5" s="13" t="s">
        <v>7</v>
      </c>
      <c r="H5" s="13" t="s">
        <v>12</v>
      </c>
      <c r="I5" s="13" t="s">
        <v>8</v>
      </c>
      <c r="J5" s="13">
        <v>15</v>
      </c>
      <c r="K5" s="12"/>
    </row>
    <row r="6" spans="1:13" x14ac:dyDescent="0.25">
      <c r="A6">
        <v>5</v>
      </c>
      <c r="B6" t="s">
        <v>28</v>
      </c>
      <c r="C6" t="s">
        <v>48</v>
      </c>
      <c r="D6" t="s">
        <v>41</v>
      </c>
      <c r="E6" s="8">
        <v>44521</v>
      </c>
      <c r="F6" s="8"/>
      <c r="G6" s="13" t="s">
        <v>7</v>
      </c>
      <c r="H6" s="13" t="s">
        <v>12</v>
      </c>
      <c r="I6" s="13" t="s">
        <v>8</v>
      </c>
      <c r="J6" s="13">
        <v>15</v>
      </c>
      <c r="K6" s="12"/>
    </row>
    <row r="7" spans="1:13" x14ac:dyDescent="0.25">
      <c r="A7">
        <v>6</v>
      </c>
      <c r="B7" t="s">
        <v>29</v>
      </c>
      <c r="C7" t="s">
        <v>48</v>
      </c>
      <c r="D7" t="s">
        <v>60</v>
      </c>
      <c r="E7" s="8">
        <v>44506</v>
      </c>
      <c r="F7" s="8"/>
      <c r="G7" s="13" t="s">
        <v>7</v>
      </c>
      <c r="H7" s="13" t="s">
        <v>12</v>
      </c>
      <c r="I7" s="13" t="s">
        <v>8</v>
      </c>
      <c r="J7" s="13">
        <v>15</v>
      </c>
      <c r="K7" s="12"/>
    </row>
    <row r="8" spans="1:13" x14ac:dyDescent="0.25">
      <c r="A8">
        <v>7</v>
      </c>
      <c r="B8" t="s">
        <v>31</v>
      </c>
      <c r="C8" t="s">
        <v>75</v>
      </c>
      <c r="D8" t="s">
        <v>50</v>
      </c>
      <c r="E8" s="8">
        <v>44360</v>
      </c>
      <c r="F8" s="8"/>
      <c r="G8" s="13" t="s">
        <v>5</v>
      </c>
      <c r="H8" s="13" t="s">
        <v>13</v>
      </c>
      <c r="I8" s="13" t="s">
        <v>8</v>
      </c>
      <c r="J8" s="13">
        <v>20</v>
      </c>
      <c r="K8" s="12"/>
    </row>
    <row r="9" spans="1:13" x14ac:dyDescent="0.25">
      <c r="A9">
        <v>8</v>
      </c>
      <c r="B9" t="s">
        <v>32</v>
      </c>
      <c r="C9" t="s">
        <v>48</v>
      </c>
      <c r="D9" t="s">
        <v>66</v>
      </c>
      <c r="E9" s="8">
        <v>44495</v>
      </c>
      <c r="F9" s="8"/>
      <c r="G9" s="13" t="s">
        <v>5</v>
      </c>
      <c r="H9" s="13" t="s">
        <v>13</v>
      </c>
      <c r="I9" s="13" t="s">
        <v>8</v>
      </c>
      <c r="J9" s="13">
        <v>20</v>
      </c>
      <c r="K9" s="12"/>
      <c r="M9" s="13"/>
    </row>
    <row r="10" spans="1:13" x14ac:dyDescent="0.25">
      <c r="A10">
        <v>9</v>
      </c>
      <c r="B10" t="s">
        <v>44</v>
      </c>
      <c r="C10" t="s">
        <v>48</v>
      </c>
      <c r="D10" t="s">
        <v>46</v>
      </c>
      <c r="E10" s="8">
        <v>44344</v>
      </c>
      <c r="F10" s="8"/>
      <c r="G10" s="13" t="s">
        <v>7</v>
      </c>
      <c r="H10" s="13" t="s">
        <v>12</v>
      </c>
      <c r="I10" s="13" t="s">
        <v>8</v>
      </c>
      <c r="J10" s="13">
        <v>15</v>
      </c>
      <c r="K10" s="12"/>
    </row>
    <row r="11" spans="1:13" x14ac:dyDescent="0.25">
      <c r="A11">
        <v>10</v>
      </c>
      <c r="B11" t="s">
        <v>22</v>
      </c>
      <c r="C11" t="s">
        <v>78</v>
      </c>
      <c r="D11" t="s">
        <v>50</v>
      </c>
      <c r="E11" s="8">
        <v>44326</v>
      </c>
      <c r="F11" s="8"/>
      <c r="G11" s="13" t="s">
        <v>4</v>
      </c>
      <c r="H11" s="13" t="s">
        <v>17</v>
      </c>
      <c r="I11" s="13" t="s">
        <v>16</v>
      </c>
      <c r="J11" s="13">
        <v>30</v>
      </c>
      <c r="K11" s="12"/>
      <c r="M11" s="13"/>
    </row>
    <row r="12" spans="1:13" x14ac:dyDescent="0.25">
      <c r="A12">
        <v>11</v>
      </c>
      <c r="B12" t="s">
        <v>20</v>
      </c>
      <c r="C12" t="s">
        <v>48</v>
      </c>
      <c r="D12" t="s">
        <v>41</v>
      </c>
      <c r="E12" s="8">
        <v>44420</v>
      </c>
      <c r="F12" s="8"/>
      <c r="G12" s="13" t="s">
        <v>14</v>
      </c>
      <c r="H12" s="13" t="s">
        <v>15</v>
      </c>
      <c r="I12" s="13" t="s">
        <v>16</v>
      </c>
      <c r="J12" s="13">
        <v>20</v>
      </c>
      <c r="K12" s="12"/>
    </row>
    <row r="13" spans="1:13" x14ac:dyDescent="0.25">
      <c r="A13">
        <v>12</v>
      </c>
      <c r="B13" t="s">
        <v>23</v>
      </c>
      <c r="C13" t="s">
        <v>48</v>
      </c>
      <c r="D13" t="s">
        <v>43</v>
      </c>
      <c r="E13" s="8">
        <v>44391</v>
      </c>
      <c r="F13" s="8"/>
      <c r="G13" s="13" t="s">
        <v>4</v>
      </c>
      <c r="H13" s="13" t="s">
        <v>17</v>
      </c>
      <c r="I13" s="13" t="s">
        <v>16</v>
      </c>
      <c r="J13" s="13">
        <v>30</v>
      </c>
      <c r="K13" s="12"/>
      <c r="M13" s="13"/>
    </row>
    <row r="14" spans="1:13" x14ac:dyDescent="0.25">
      <c r="A14">
        <v>13</v>
      </c>
      <c r="B14" t="s">
        <v>21</v>
      </c>
      <c r="C14" t="s">
        <v>48</v>
      </c>
      <c r="D14" t="s">
        <v>39</v>
      </c>
      <c r="E14" s="8">
        <v>44218</v>
      </c>
      <c r="F14" s="8"/>
      <c r="G14" s="13" t="s">
        <v>4</v>
      </c>
      <c r="H14" s="13" t="s">
        <v>17</v>
      </c>
      <c r="I14" s="13" t="s">
        <v>16</v>
      </c>
      <c r="J14" s="13">
        <v>30</v>
      </c>
      <c r="K14" s="12"/>
    </row>
    <row r="15" spans="1:13" x14ac:dyDescent="0.25">
      <c r="A15">
        <v>14</v>
      </c>
      <c r="B15" t="s">
        <v>62</v>
      </c>
      <c r="C15" t="s">
        <v>48</v>
      </c>
      <c r="D15" t="s">
        <v>60</v>
      </c>
      <c r="E15" s="8">
        <v>44366</v>
      </c>
      <c r="F15" s="8"/>
      <c r="G15" s="13" t="s">
        <v>4</v>
      </c>
      <c r="H15" s="13" t="s">
        <v>17</v>
      </c>
      <c r="I15" s="13" t="s">
        <v>16</v>
      </c>
      <c r="J15" s="13">
        <v>30</v>
      </c>
      <c r="K15" s="12"/>
      <c r="M15" s="13"/>
    </row>
    <row r="16" spans="1:13" x14ac:dyDescent="0.25">
      <c r="A16">
        <v>15</v>
      </c>
      <c r="B16" t="s">
        <v>61</v>
      </c>
      <c r="C16" t="s">
        <v>48</v>
      </c>
      <c r="D16" t="s">
        <v>60</v>
      </c>
      <c r="E16" s="8">
        <v>44284</v>
      </c>
      <c r="F16" s="8"/>
      <c r="G16" s="13" t="s">
        <v>4</v>
      </c>
      <c r="H16" s="13" t="s">
        <v>17</v>
      </c>
      <c r="I16" s="13" t="s">
        <v>16</v>
      </c>
      <c r="J16" s="13">
        <v>30</v>
      </c>
      <c r="K16" s="12"/>
      <c r="M16" s="13"/>
    </row>
    <row r="17" spans="1:13" x14ac:dyDescent="0.25">
      <c r="A17">
        <v>16</v>
      </c>
      <c r="B17" t="s">
        <v>30</v>
      </c>
      <c r="C17" t="s">
        <v>65</v>
      </c>
      <c r="D17" t="s">
        <v>50</v>
      </c>
      <c r="E17" s="8">
        <v>44278</v>
      </c>
      <c r="F17" s="8"/>
      <c r="G17" s="13" t="s">
        <v>5</v>
      </c>
      <c r="H17" s="13" t="s">
        <v>13</v>
      </c>
      <c r="I17" s="13" t="s">
        <v>8</v>
      </c>
      <c r="J17" s="13">
        <v>20</v>
      </c>
      <c r="K17" s="12"/>
      <c r="M17" s="13"/>
    </row>
    <row r="18" spans="1:13" x14ac:dyDescent="0.25">
      <c r="A18">
        <v>17</v>
      </c>
      <c r="B18" t="s">
        <v>18</v>
      </c>
      <c r="C18" t="s">
        <v>48</v>
      </c>
      <c r="D18" t="s">
        <v>41</v>
      </c>
      <c r="E18" s="8">
        <v>44442</v>
      </c>
      <c r="F18" s="8"/>
      <c r="G18" s="13" t="s">
        <v>14</v>
      </c>
      <c r="H18" s="13" t="s">
        <v>15</v>
      </c>
      <c r="I18" s="13" t="s">
        <v>16</v>
      </c>
      <c r="J18" s="13">
        <v>20</v>
      </c>
      <c r="K18" s="12"/>
      <c r="M18" s="13"/>
    </row>
    <row r="19" spans="1:13" x14ac:dyDescent="0.25">
      <c r="A19">
        <v>18</v>
      </c>
      <c r="B19" t="s">
        <v>19</v>
      </c>
      <c r="C19" t="s">
        <v>49</v>
      </c>
      <c r="D19" t="s">
        <v>50</v>
      </c>
      <c r="E19" s="8">
        <v>44320</v>
      </c>
      <c r="F19" s="8"/>
      <c r="G19" s="13" t="s">
        <v>14</v>
      </c>
      <c r="H19" s="13" t="s">
        <v>15</v>
      </c>
      <c r="I19" s="13" t="s">
        <v>16</v>
      </c>
      <c r="J19" s="13">
        <v>20</v>
      </c>
      <c r="K19" s="12"/>
      <c r="M19" s="13"/>
    </row>
    <row r="20" spans="1:13" x14ac:dyDescent="0.25">
      <c r="A20">
        <v>19</v>
      </c>
      <c r="B20" t="s">
        <v>88</v>
      </c>
      <c r="C20" t="s">
        <v>48</v>
      </c>
      <c r="D20" t="s">
        <v>60</v>
      </c>
      <c r="E20" s="8">
        <v>44550</v>
      </c>
      <c r="F20" s="8"/>
      <c r="G20" s="13" t="s">
        <v>5</v>
      </c>
      <c r="H20" s="13" t="s">
        <v>13</v>
      </c>
      <c r="I20" s="13" t="s">
        <v>8</v>
      </c>
      <c r="J20" s="13">
        <v>20</v>
      </c>
      <c r="K20" s="12"/>
      <c r="M20" s="13"/>
    </row>
    <row r="21" spans="1:13" x14ac:dyDescent="0.25">
      <c r="A21">
        <v>20</v>
      </c>
      <c r="B21" t="s">
        <v>87</v>
      </c>
      <c r="C21" t="s">
        <v>48</v>
      </c>
      <c r="D21" t="s">
        <v>39</v>
      </c>
      <c r="E21" s="8">
        <v>44545</v>
      </c>
      <c r="F21" s="8"/>
      <c r="G21" s="13" t="s">
        <v>5</v>
      </c>
      <c r="H21" s="13" t="s">
        <v>13</v>
      </c>
      <c r="I21" s="13" t="s">
        <v>8</v>
      </c>
      <c r="J21" s="13">
        <v>20</v>
      </c>
      <c r="K21" s="12"/>
      <c r="M21" s="13"/>
    </row>
    <row r="22" spans="1:13" x14ac:dyDescent="0.25">
      <c r="A22">
        <v>21</v>
      </c>
      <c r="B22" t="s">
        <v>86</v>
      </c>
      <c r="C22" t="s">
        <v>48</v>
      </c>
      <c r="D22" t="s">
        <v>64</v>
      </c>
      <c r="E22" s="8">
        <v>44532</v>
      </c>
      <c r="F22" s="8"/>
      <c r="G22" s="13" t="s">
        <v>6</v>
      </c>
      <c r="H22" s="13" t="s">
        <v>11</v>
      </c>
      <c r="I22" s="13" t="s">
        <v>8</v>
      </c>
      <c r="J22" s="13">
        <v>10</v>
      </c>
      <c r="K22" s="12"/>
      <c r="M22" s="13"/>
    </row>
    <row r="23" spans="1:13" x14ac:dyDescent="0.25">
      <c r="A23">
        <v>22</v>
      </c>
      <c r="B23" t="s">
        <v>85</v>
      </c>
      <c r="C23" t="s">
        <v>48</v>
      </c>
      <c r="D23" t="s">
        <v>74</v>
      </c>
      <c r="E23" s="8">
        <v>44538</v>
      </c>
      <c r="F23" s="8"/>
      <c r="G23" s="13" t="s">
        <v>7</v>
      </c>
      <c r="H23" s="13" t="s">
        <v>12</v>
      </c>
      <c r="I23" s="13" t="s">
        <v>8</v>
      </c>
      <c r="J23" s="13">
        <v>15</v>
      </c>
      <c r="K23" s="12"/>
      <c r="M23" s="13"/>
    </row>
    <row r="24" spans="1:13" x14ac:dyDescent="0.25">
      <c r="A24">
        <v>23</v>
      </c>
      <c r="B24" t="s">
        <v>83</v>
      </c>
      <c r="C24" t="s">
        <v>48</v>
      </c>
      <c r="D24" t="s">
        <v>39</v>
      </c>
      <c r="E24" s="8">
        <v>44475</v>
      </c>
      <c r="F24" s="8"/>
      <c r="G24" s="13" t="s">
        <v>5</v>
      </c>
      <c r="H24" s="13" t="s">
        <v>13</v>
      </c>
      <c r="I24" s="13" t="s">
        <v>8</v>
      </c>
      <c r="J24" s="13">
        <v>20</v>
      </c>
      <c r="K24" s="12"/>
      <c r="M24" s="13"/>
    </row>
    <row r="25" spans="1:13" x14ac:dyDescent="0.25">
      <c r="A25">
        <v>24</v>
      </c>
      <c r="B25" t="s">
        <v>84</v>
      </c>
      <c r="C25" t="s">
        <v>48</v>
      </c>
      <c r="D25" t="s">
        <v>64</v>
      </c>
      <c r="E25" s="8">
        <v>44560</v>
      </c>
      <c r="F25" s="8"/>
      <c r="G25" s="13" t="s">
        <v>14</v>
      </c>
      <c r="H25" s="13" t="s">
        <v>15</v>
      </c>
      <c r="I25" s="13" t="s">
        <v>16</v>
      </c>
      <c r="J25" s="13">
        <v>20</v>
      </c>
      <c r="K25" s="12"/>
      <c r="M25" s="13"/>
    </row>
    <row r="26" spans="1:13" x14ac:dyDescent="0.25">
      <c r="A26">
        <v>25</v>
      </c>
      <c r="B26" t="s">
        <v>81</v>
      </c>
      <c r="C26" t="s">
        <v>48</v>
      </c>
      <c r="D26" t="s">
        <v>69</v>
      </c>
      <c r="E26" s="8">
        <v>44474</v>
      </c>
      <c r="F26" s="8"/>
      <c r="G26" s="13" t="s">
        <v>14</v>
      </c>
      <c r="H26" s="13" t="s">
        <v>15</v>
      </c>
      <c r="I26" s="13" t="s">
        <v>16</v>
      </c>
      <c r="J26" s="13">
        <v>20</v>
      </c>
      <c r="K26" s="12"/>
      <c r="M26" s="13"/>
    </row>
    <row r="27" spans="1:13" x14ac:dyDescent="0.25">
      <c r="A27">
        <v>26</v>
      </c>
      <c r="B27" t="s">
        <v>82</v>
      </c>
      <c r="C27" t="s">
        <v>48</v>
      </c>
      <c r="D27" t="s">
        <v>43</v>
      </c>
      <c r="E27" s="8">
        <v>44503</v>
      </c>
      <c r="F27" s="8"/>
      <c r="G27" s="13" t="s">
        <v>14</v>
      </c>
      <c r="H27" s="13" t="s">
        <v>15</v>
      </c>
      <c r="I27" s="13" t="s">
        <v>16</v>
      </c>
      <c r="J27" s="13">
        <v>20</v>
      </c>
      <c r="K27" s="12"/>
      <c r="M27" s="13"/>
    </row>
    <row r="28" spans="1:13" x14ac:dyDescent="0.25">
      <c r="A28">
        <v>27</v>
      </c>
      <c r="B28" t="s">
        <v>80</v>
      </c>
      <c r="C28" t="s">
        <v>75</v>
      </c>
      <c r="D28" t="s">
        <v>50</v>
      </c>
      <c r="E28" s="8">
        <v>44535</v>
      </c>
      <c r="F28" s="8"/>
      <c r="G28" s="13" t="s">
        <v>7</v>
      </c>
      <c r="H28" s="13" t="s">
        <v>12</v>
      </c>
      <c r="I28" s="13" t="s">
        <v>8</v>
      </c>
      <c r="J28" s="13">
        <v>15</v>
      </c>
      <c r="K28" s="12"/>
      <c r="M28" s="13"/>
    </row>
    <row r="29" spans="1:13" x14ac:dyDescent="0.25">
      <c r="A29">
        <v>28</v>
      </c>
      <c r="B29" t="s">
        <v>79</v>
      </c>
      <c r="C29" t="s">
        <v>78</v>
      </c>
      <c r="D29" t="s">
        <v>50</v>
      </c>
      <c r="E29" s="8">
        <v>44539</v>
      </c>
      <c r="F29" s="8"/>
      <c r="G29" s="13" t="s">
        <v>6</v>
      </c>
      <c r="H29" s="13" t="s">
        <v>11</v>
      </c>
      <c r="I29" s="13" t="s">
        <v>8</v>
      </c>
      <c r="J29" s="13">
        <v>10</v>
      </c>
      <c r="K29" s="12"/>
      <c r="M29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99"/>
  <sheetViews>
    <sheetView topLeftCell="B1" workbookViewId="0">
      <selection sqref="A1:E199"/>
    </sheetView>
  </sheetViews>
  <sheetFormatPr defaultRowHeight="15" x14ac:dyDescent="0.25"/>
  <cols>
    <col min="1" max="1" width="16.85546875" hidden="1" customWidth="1"/>
    <col min="2" max="3" width="21" bestFit="1" customWidth="1"/>
    <col min="4" max="4" width="22.7109375" style="21" bestFit="1" customWidth="1"/>
    <col min="5" max="5" width="9.85546875" bestFit="1" customWidth="1"/>
    <col min="6" max="6" width="9.5703125" bestFit="1" customWidth="1"/>
    <col min="7" max="7" width="10.140625" bestFit="1" customWidth="1"/>
    <col min="10" max="10" width="9.85546875" bestFit="1" customWidth="1"/>
    <col min="11" max="11" width="9.7109375" bestFit="1" customWidth="1"/>
    <col min="13" max="13" width="10" bestFit="1" customWidth="1"/>
    <col min="14" max="15" width="9.7109375" bestFit="1" customWidth="1"/>
    <col min="16" max="16" width="11.5703125" customWidth="1"/>
  </cols>
  <sheetData>
    <row r="1" spans="1:4" x14ac:dyDescent="0.25">
      <c r="A1" t="s">
        <v>37</v>
      </c>
      <c r="B1" t="s">
        <v>35</v>
      </c>
      <c r="C1" t="s">
        <v>36</v>
      </c>
      <c r="D1" s="13" t="s">
        <v>70</v>
      </c>
    </row>
    <row r="2" spans="1:4" x14ac:dyDescent="0.25">
      <c r="A2">
        <v>5</v>
      </c>
      <c r="B2" t="s">
        <v>60</v>
      </c>
      <c r="C2" t="s">
        <v>59</v>
      </c>
      <c r="D2" s="13">
        <v>95</v>
      </c>
    </row>
    <row r="3" spans="1:4" x14ac:dyDescent="0.25">
      <c r="A3">
        <v>1</v>
      </c>
      <c r="B3" t="s">
        <v>39</v>
      </c>
      <c r="C3" t="s">
        <v>38</v>
      </c>
      <c r="D3" s="13">
        <v>70</v>
      </c>
    </row>
    <row r="4" spans="1:4" x14ac:dyDescent="0.25">
      <c r="A4">
        <v>2</v>
      </c>
      <c r="B4" t="s">
        <v>41</v>
      </c>
      <c r="C4" t="s">
        <v>40</v>
      </c>
      <c r="D4" s="13">
        <v>55</v>
      </c>
    </row>
    <row r="5" spans="1:4" x14ac:dyDescent="0.25">
      <c r="A5">
        <v>3</v>
      </c>
      <c r="B5" t="s">
        <v>43</v>
      </c>
      <c r="C5" t="s">
        <v>42</v>
      </c>
      <c r="D5" s="13">
        <v>50</v>
      </c>
    </row>
    <row r="6" spans="1:4" x14ac:dyDescent="0.25">
      <c r="A6">
        <v>6</v>
      </c>
      <c r="B6" t="s">
        <v>64</v>
      </c>
      <c r="C6" t="s">
        <v>63</v>
      </c>
      <c r="D6" s="13">
        <v>40</v>
      </c>
    </row>
    <row r="7" spans="1:4" x14ac:dyDescent="0.25">
      <c r="A7">
        <v>7</v>
      </c>
      <c r="B7" t="s">
        <v>66</v>
      </c>
      <c r="C7" t="s">
        <v>67</v>
      </c>
      <c r="D7" s="13">
        <v>20</v>
      </c>
    </row>
    <row r="8" spans="1:4" x14ac:dyDescent="0.25">
      <c r="A8">
        <v>8</v>
      </c>
      <c r="B8" t="s">
        <v>69</v>
      </c>
      <c r="C8" t="s">
        <v>68</v>
      </c>
      <c r="D8" s="13">
        <v>20</v>
      </c>
    </row>
    <row r="9" spans="1:4" x14ac:dyDescent="0.25">
      <c r="A9">
        <v>4</v>
      </c>
      <c r="B9" t="s">
        <v>46</v>
      </c>
      <c r="C9" t="s">
        <v>45</v>
      </c>
      <c r="D9" s="13">
        <v>15</v>
      </c>
    </row>
    <row r="10" spans="1:4" x14ac:dyDescent="0.25">
      <c r="A10">
        <v>9</v>
      </c>
      <c r="B10" t="s">
        <v>74</v>
      </c>
      <c r="C10" t="s">
        <v>73</v>
      </c>
      <c r="D10" s="13">
        <v>15</v>
      </c>
    </row>
    <row r="11" spans="1:4" x14ac:dyDescent="0.25">
      <c r="D11" s="13">
        <v>0</v>
      </c>
    </row>
    <row r="12" spans="1:4" x14ac:dyDescent="0.25">
      <c r="D12" s="13">
        <v>0</v>
      </c>
    </row>
    <row r="13" spans="1:4" x14ac:dyDescent="0.25">
      <c r="D13" s="13">
        <v>0</v>
      </c>
    </row>
    <row r="14" spans="1:4" x14ac:dyDescent="0.25">
      <c r="D14" s="13">
        <v>0</v>
      </c>
    </row>
    <row r="15" spans="1:4" x14ac:dyDescent="0.25">
      <c r="D15" s="13">
        <v>0</v>
      </c>
    </row>
    <row r="16" spans="1:4" x14ac:dyDescent="0.25">
      <c r="D16" s="13">
        <v>0</v>
      </c>
    </row>
    <row r="17" spans="4:4" x14ac:dyDescent="0.25">
      <c r="D17" s="13">
        <v>0</v>
      </c>
    </row>
    <row r="18" spans="4:4" x14ac:dyDescent="0.25">
      <c r="D18" s="13">
        <v>0</v>
      </c>
    </row>
    <row r="19" spans="4:4" x14ac:dyDescent="0.25">
      <c r="D19" s="13">
        <v>0</v>
      </c>
    </row>
    <row r="20" spans="4:4" x14ac:dyDescent="0.25">
      <c r="D20" s="13">
        <v>0</v>
      </c>
    </row>
    <row r="21" spans="4:4" x14ac:dyDescent="0.25">
      <c r="D21" s="13">
        <v>0</v>
      </c>
    </row>
    <row r="22" spans="4:4" x14ac:dyDescent="0.25">
      <c r="D22" s="13">
        <v>0</v>
      </c>
    </row>
    <row r="23" spans="4:4" x14ac:dyDescent="0.25">
      <c r="D23" s="13">
        <v>0</v>
      </c>
    </row>
    <row r="24" spans="4:4" x14ac:dyDescent="0.25">
      <c r="D24" s="13">
        <v>0</v>
      </c>
    </row>
    <row r="25" spans="4:4" x14ac:dyDescent="0.25">
      <c r="D25" s="13">
        <v>0</v>
      </c>
    </row>
    <row r="26" spans="4:4" x14ac:dyDescent="0.25">
      <c r="D26" s="13">
        <v>0</v>
      </c>
    </row>
    <row r="27" spans="4:4" x14ac:dyDescent="0.25">
      <c r="D27" s="13">
        <v>0</v>
      </c>
    </row>
    <row r="28" spans="4:4" x14ac:dyDescent="0.25">
      <c r="D28" s="13">
        <v>0</v>
      </c>
    </row>
    <row r="29" spans="4:4" x14ac:dyDescent="0.25">
      <c r="D29" s="13">
        <v>0</v>
      </c>
    </row>
    <row r="30" spans="4:4" x14ac:dyDescent="0.25">
      <c r="D30" s="13">
        <v>0</v>
      </c>
    </row>
    <row r="31" spans="4:4" x14ac:dyDescent="0.25">
      <c r="D31" s="13">
        <v>0</v>
      </c>
    </row>
    <row r="32" spans="4:4" x14ac:dyDescent="0.25">
      <c r="D32" s="13">
        <v>0</v>
      </c>
    </row>
    <row r="33" spans="4:4" x14ac:dyDescent="0.25">
      <c r="D33" s="13">
        <v>0</v>
      </c>
    </row>
    <row r="34" spans="4:4" x14ac:dyDescent="0.25">
      <c r="D34" s="13">
        <v>0</v>
      </c>
    </row>
    <row r="35" spans="4:4" x14ac:dyDescent="0.25">
      <c r="D35" s="13">
        <v>0</v>
      </c>
    </row>
    <row r="36" spans="4:4" x14ac:dyDescent="0.25">
      <c r="D36" s="13">
        <v>0</v>
      </c>
    </row>
    <row r="37" spans="4:4" x14ac:dyDescent="0.25">
      <c r="D37" s="13">
        <v>0</v>
      </c>
    </row>
    <row r="38" spans="4:4" x14ac:dyDescent="0.25">
      <c r="D38" s="13">
        <v>0</v>
      </c>
    </row>
    <row r="39" spans="4:4" x14ac:dyDescent="0.25">
      <c r="D39" s="13">
        <v>0</v>
      </c>
    </row>
    <row r="40" spans="4:4" x14ac:dyDescent="0.25">
      <c r="D40" s="13">
        <v>0</v>
      </c>
    </row>
    <row r="41" spans="4:4" x14ac:dyDescent="0.25">
      <c r="D41" s="13">
        <v>0</v>
      </c>
    </row>
    <row r="42" spans="4:4" x14ac:dyDescent="0.25">
      <c r="D42" s="13">
        <v>0</v>
      </c>
    </row>
    <row r="43" spans="4:4" x14ac:dyDescent="0.25">
      <c r="D43" s="13">
        <v>0</v>
      </c>
    </row>
    <row r="44" spans="4:4" x14ac:dyDescent="0.25">
      <c r="D44" s="13">
        <v>0</v>
      </c>
    </row>
    <row r="45" spans="4:4" x14ac:dyDescent="0.25">
      <c r="D45" s="13">
        <v>0</v>
      </c>
    </row>
    <row r="46" spans="4:4" x14ac:dyDescent="0.25">
      <c r="D46" s="13">
        <v>0</v>
      </c>
    </row>
    <row r="47" spans="4:4" x14ac:dyDescent="0.25">
      <c r="D47" s="13">
        <v>0</v>
      </c>
    </row>
    <row r="48" spans="4:4" x14ac:dyDescent="0.25">
      <c r="D48" s="13">
        <v>0</v>
      </c>
    </row>
    <row r="49" spans="4:4" x14ac:dyDescent="0.25">
      <c r="D49" s="13">
        <v>0</v>
      </c>
    </row>
    <row r="50" spans="4:4" x14ac:dyDescent="0.25">
      <c r="D50" s="13">
        <v>0</v>
      </c>
    </row>
    <row r="51" spans="4:4" x14ac:dyDescent="0.25">
      <c r="D51" s="13">
        <v>0</v>
      </c>
    </row>
    <row r="52" spans="4:4" x14ac:dyDescent="0.25">
      <c r="D52" s="13">
        <v>0</v>
      </c>
    </row>
    <row r="53" spans="4:4" x14ac:dyDescent="0.25">
      <c r="D53" s="13">
        <v>0</v>
      </c>
    </row>
    <row r="54" spans="4:4" x14ac:dyDescent="0.25">
      <c r="D54" s="13">
        <v>0</v>
      </c>
    </row>
    <row r="55" spans="4:4" x14ac:dyDescent="0.25">
      <c r="D55" s="13">
        <v>0</v>
      </c>
    </row>
    <row r="56" spans="4:4" x14ac:dyDescent="0.25">
      <c r="D56" s="13">
        <v>0</v>
      </c>
    </row>
    <row r="57" spans="4:4" x14ac:dyDescent="0.25">
      <c r="D57" s="13">
        <v>0</v>
      </c>
    </row>
    <row r="58" spans="4:4" x14ac:dyDescent="0.25">
      <c r="D58" s="13">
        <v>0</v>
      </c>
    </row>
    <row r="59" spans="4:4" x14ac:dyDescent="0.25">
      <c r="D59" s="13">
        <v>0</v>
      </c>
    </row>
    <row r="60" spans="4:4" x14ac:dyDescent="0.25">
      <c r="D60" s="13">
        <v>0</v>
      </c>
    </row>
    <row r="61" spans="4:4" x14ac:dyDescent="0.25">
      <c r="D61" s="13">
        <v>0</v>
      </c>
    </row>
    <row r="62" spans="4:4" x14ac:dyDescent="0.25">
      <c r="D62" s="13">
        <v>0</v>
      </c>
    </row>
    <row r="63" spans="4:4" x14ac:dyDescent="0.25">
      <c r="D63" s="13">
        <v>0</v>
      </c>
    </row>
    <row r="64" spans="4:4" x14ac:dyDescent="0.25">
      <c r="D64" s="13">
        <v>0</v>
      </c>
    </row>
    <row r="65" spans="4:4" x14ac:dyDescent="0.25">
      <c r="D65" s="13">
        <v>0</v>
      </c>
    </row>
    <row r="66" spans="4:4" x14ac:dyDescent="0.25">
      <c r="D66" s="13">
        <v>0</v>
      </c>
    </row>
    <row r="67" spans="4:4" x14ac:dyDescent="0.25">
      <c r="D67" s="13">
        <v>0</v>
      </c>
    </row>
    <row r="68" spans="4:4" x14ac:dyDescent="0.25">
      <c r="D68" s="13">
        <v>0</v>
      </c>
    </row>
    <row r="69" spans="4:4" x14ac:dyDescent="0.25">
      <c r="D69" s="13">
        <v>0</v>
      </c>
    </row>
    <row r="70" spans="4:4" x14ac:dyDescent="0.25">
      <c r="D70" s="13">
        <v>0</v>
      </c>
    </row>
    <row r="71" spans="4:4" x14ac:dyDescent="0.25">
      <c r="D71" s="13">
        <v>0</v>
      </c>
    </row>
    <row r="72" spans="4:4" x14ac:dyDescent="0.25">
      <c r="D72" s="13">
        <v>0</v>
      </c>
    </row>
    <row r="73" spans="4:4" x14ac:dyDescent="0.25">
      <c r="D73" s="13">
        <v>0</v>
      </c>
    </row>
    <row r="74" spans="4:4" x14ac:dyDescent="0.25">
      <c r="D74" s="13">
        <v>0</v>
      </c>
    </row>
    <row r="75" spans="4:4" x14ac:dyDescent="0.25">
      <c r="D75" s="13">
        <v>0</v>
      </c>
    </row>
    <row r="76" spans="4:4" x14ac:dyDescent="0.25">
      <c r="D76" s="13">
        <v>0</v>
      </c>
    </row>
    <row r="77" spans="4:4" x14ac:dyDescent="0.25">
      <c r="D77" s="13">
        <v>0</v>
      </c>
    </row>
    <row r="78" spans="4:4" x14ac:dyDescent="0.25">
      <c r="D78" s="13">
        <v>0</v>
      </c>
    </row>
    <row r="79" spans="4:4" x14ac:dyDescent="0.25">
      <c r="D79" s="13">
        <v>0</v>
      </c>
    </row>
    <row r="80" spans="4:4" x14ac:dyDescent="0.25">
      <c r="D80" s="13">
        <v>0</v>
      </c>
    </row>
    <row r="81" spans="4:4" x14ac:dyDescent="0.25">
      <c r="D81" s="13">
        <v>0</v>
      </c>
    </row>
    <row r="82" spans="4:4" x14ac:dyDescent="0.25">
      <c r="D82" s="13">
        <v>0</v>
      </c>
    </row>
    <row r="83" spans="4:4" x14ac:dyDescent="0.25">
      <c r="D83" s="13">
        <v>0</v>
      </c>
    </row>
    <row r="84" spans="4:4" x14ac:dyDescent="0.25">
      <c r="D84" s="13">
        <v>0</v>
      </c>
    </row>
    <row r="85" spans="4:4" x14ac:dyDescent="0.25">
      <c r="D85" s="13">
        <v>0</v>
      </c>
    </row>
    <row r="86" spans="4:4" x14ac:dyDescent="0.25">
      <c r="D86" s="13">
        <v>0</v>
      </c>
    </row>
    <row r="87" spans="4:4" x14ac:dyDescent="0.25">
      <c r="D87" s="13">
        <v>0</v>
      </c>
    </row>
    <row r="88" spans="4:4" x14ac:dyDescent="0.25">
      <c r="D88" s="13">
        <v>0</v>
      </c>
    </row>
    <row r="89" spans="4:4" x14ac:dyDescent="0.25">
      <c r="D89" s="13">
        <v>0</v>
      </c>
    </row>
    <row r="90" spans="4:4" x14ac:dyDescent="0.25">
      <c r="D90" s="13">
        <v>0</v>
      </c>
    </row>
    <row r="91" spans="4:4" x14ac:dyDescent="0.25">
      <c r="D91" s="13">
        <v>0</v>
      </c>
    </row>
    <row r="92" spans="4:4" x14ac:dyDescent="0.25">
      <c r="D92" s="13">
        <v>0</v>
      </c>
    </row>
    <row r="93" spans="4:4" x14ac:dyDescent="0.25">
      <c r="D93" s="13">
        <v>0</v>
      </c>
    </row>
    <row r="94" spans="4:4" x14ac:dyDescent="0.25">
      <c r="D94" s="13">
        <v>0</v>
      </c>
    </row>
    <row r="95" spans="4:4" x14ac:dyDescent="0.25">
      <c r="D95" s="13">
        <v>0</v>
      </c>
    </row>
    <row r="96" spans="4:4" x14ac:dyDescent="0.25">
      <c r="D96" s="13">
        <v>0</v>
      </c>
    </row>
    <row r="97" spans="4:4" x14ac:dyDescent="0.25">
      <c r="D97" s="13">
        <v>0</v>
      </c>
    </row>
    <row r="98" spans="4:4" x14ac:dyDescent="0.25">
      <c r="D98" s="13">
        <v>0</v>
      </c>
    </row>
    <row r="99" spans="4:4" x14ac:dyDescent="0.25">
      <c r="D99" s="13">
        <v>0</v>
      </c>
    </row>
    <row r="100" spans="4:4" x14ac:dyDescent="0.25">
      <c r="D100" s="13">
        <v>0</v>
      </c>
    </row>
    <row r="101" spans="4:4" x14ac:dyDescent="0.25">
      <c r="D101" s="13">
        <v>0</v>
      </c>
    </row>
    <row r="102" spans="4:4" x14ac:dyDescent="0.25">
      <c r="D102" s="13">
        <v>0</v>
      </c>
    </row>
    <row r="103" spans="4:4" x14ac:dyDescent="0.25">
      <c r="D103" s="13">
        <v>0</v>
      </c>
    </row>
    <row r="104" spans="4:4" x14ac:dyDescent="0.25">
      <c r="D104" s="13">
        <v>0</v>
      </c>
    </row>
    <row r="105" spans="4:4" x14ac:dyDescent="0.25">
      <c r="D105" s="13">
        <v>0</v>
      </c>
    </row>
    <row r="106" spans="4:4" x14ac:dyDescent="0.25">
      <c r="D106" s="13">
        <v>0</v>
      </c>
    </row>
    <row r="107" spans="4:4" x14ac:dyDescent="0.25">
      <c r="D107" s="13">
        <v>0</v>
      </c>
    </row>
    <row r="108" spans="4:4" x14ac:dyDescent="0.25">
      <c r="D108" s="13">
        <v>0</v>
      </c>
    </row>
    <row r="109" spans="4:4" x14ac:dyDescent="0.25">
      <c r="D109" s="13">
        <v>0</v>
      </c>
    </row>
    <row r="110" spans="4:4" x14ac:dyDescent="0.25">
      <c r="D110" s="13">
        <v>0</v>
      </c>
    </row>
    <row r="111" spans="4:4" x14ac:dyDescent="0.25">
      <c r="D111" s="13">
        <v>0</v>
      </c>
    </row>
    <row r="112" spans="4:4" x14ac:dyDescent="0.25">
      <c r="D112" s="13">
        <v>0</v>
      </c>
    </row>
    <row r="113" spans="4:4" x14ac:dyDescent="0.25">
      <c r="D113" s="13">
        <v>0</v>
      </c>
    </row>
    <row r="114" spans="4:4" x14ac:dyDescent="0.25">
      <c r="D114" s="13">
        <v>0</v>
      </c>
    </row>
    <row r="115" spans="4:4" x14ac:dyDescent="0.25">
      <c r="D115" s="13">
        <v>0</v>
      </c>
    </row>
    <row r="116" spans="4:4" x14ac:dyDescent="0.25">
      <c r="D116" s="13">
        <v>0</v>
      </c>
    </row>
    <row r="117" spans="4:4" x14ac:dyDescent="0.25">
      <c r="D117" s="13">
        <v>0</v>
      </c>
    </row>
    <row r="118" spans="4:4" x14ac:dyDescent="0.25">
      <c r="D118" s="13">
        <v>0</v>
      </c>
    </row>
    <row r="119" spans="4:4" x14ac:dyDescent="0.25">
      <c r="D119" s="13">
        <v>0</v>
      </c>
    </row>
    <row r="120" spans="4:4" x14ac:dyDescent="0.25">
      <c r="D120" s="13">
        <v>0</v>
      </c>
    </row>
    <row r="121" spans="4:4" x14ac:dyDescent="0.25">
      <c r="D121" s="13">
        <v>0</v>
      </c>
    </row>
    <row r="122" spans="4:4" x14ac:dyDescent="0.25">
      <c r="D122" s="13">
        <v>0</v>
      </c>
    </row>
    <row r="123" spans="4:4" x14ac:dyDescent="0.25">
      <c r="D123" s="13">
        <v>0</v>
      </c>
    </row>
    <row r="124" spans="4:4" x14ac:dyDescent="0.25">
      <c r="D124" s="13">
        <v>0</v>
      </c>
    </row>
    <row r="125" spans="4:4" x14ac:dyDescent="0.25">
      <c r="D125" s="13">
        <v>0</v>
      </c>
    </row>
    <row r="126" spans="4:4" x14ac:dyDescent="0.25">
      <c r="D126" s="13">
        <v>0</v>
      </c>
    </row>
    <row r="127" spans="4:4" x14ac:dyDescent="0.25">
      <c r="D127" s="13">
        <v>0</v>
      </c>
    </row>
    <row r="128" spans="4:4" x14ac:dyDescent="0.25">
      <c r="D128" s="13">
        <v>0</v>
      </c>
    </row>
    <row r="129" spans="4:4" x14ac:dyDescent="0.25">
      <c r="D129" s="13">
        <v>0</v>
      </c>
    </row>
    <row r="130" spans="4:4" x14ac:dyDescent="0.25">
      <c r="D130" s="13">
        <v>0</v>
      </c>
    </row>
    <row r="131" spans="4:4" x14ac:dyDescent="0.25">
      <c r="D131" s="13">
        <v>0</v>
      </c>
    </row>
    <row r="132" spans="4:4" x14ac:dyDescent="0.25">
      <c r="D132" s="13">
        <v>0</v>
      </c>
    </row>
    <row r="133" spans="4:4" x14ac:dyDescent="0.25">
      <c r="D133" s="13">
        <v>0</v>
      </c>
    </row>
    <row r="134" spans="4:4" x14ac:dyDescent="0.25">
      <c r="D134" s="13">
        <v>0</v>
      </c>
    </row>
    <row r="135" spans="4:4" x14ac:dyDescent="0.25">
      <c r="D135" s="13">
        <v>0</v>
      </c>
    </row>
    <row r="136" spans="4:4" x14ac:dyDescent="0.25">
      <c r="D136" s="13">
        <v>0</v>
      </c>
    </row>
    <row r="137" spans="4:4" x14ac:dyDescent="0.25">
      <c r="D137" s="13">
        <v>0</v>
      </c>
    </row>
    <row r="138" spans="4:4" x14ac:dyDescent="0.25">
      <c r="D138" s="13">
        <v>0</v>
      </c>
    </row>
    <row r="139" spans="4:4" x14ac:dyDescent="0.25">
      <c r="D139" s="13">
        <v>0</v>
      </c>
    </row>
    <row r="140" spans="4:4" x14ac:dyDescent="0.25">
      <c r="D140" s="13">
        <v>0</v>
      </c>
    </row>
    <row r="141" spans="4:4" x14ac:dyDescent="0.25">
      <c r="D141" s="13">
        <v>0</v>
      </c>
    </row>
    <row r="142" spans="4:4" x14ac:dyDescent="0.25">
      <c r="D142" s="13">
        <v>0</v>
      </c>
    </row>
    <row r="143" spans="4:4" x14ac:dyDescent="0.25">
      <c r="D143" s="13">
        <v>0</v>
      </c>
    </row>
    <row r="144" spans="4:4" x14ac:dyDescent="0.25">
      <c r="D144" s="13">
        <v>0</v>
      </c>
    </row>
    <row r="145" spans="4:4" x14ac:dyDescent="0.25">
      <c r="D145" s="13">
        <v>0</v>
      </c>
    </row>
    <row r="146" spans="4:4" x14ac:dyDescent="0.25">
      <c r="D146" s="13">
        <v>0</v>
      </c>
    </row>
    <row r="147" spans="4:4" x14ac:dyDescent="0.25">
      <c r="D147" s="13">
        <v>0</v>
      </c>
    </row>
    <row r="148" spans="4:4" x14ac:dyDescent="0.25">
      <c r="D148" s="13">
        <v>0</v>
      </c>
    </row>
    <row r="149" spans="4:4" x14ac:dyDescent="0.25">
      <c r="D149" s="13">
        <v>0</v>
      </c>
    </row>
    <row r="150" spans="4:4" x14ac:dyDescent="0.25">
      <c r="D150" s="13">
        <v>0</v>
      </c>
    </row>
    <row r="151" spans="4:4" x14ac:dyDescent="0.25">
      <c r="D151" s="13">
        <v>0</v>
      </c>
    </row>
    <row r="152" spans="4:4" x14ac:dyDescent="0.25">
      <c r="D152" s="13">
        <v>0</v>
      </c>
    </row>
    <row r="153" spans="4:4" x14ac:dyDescent="0.25">
      <c r="D153" s="13">
        <v>0</v>
      </c>
    </row>
    <row r="154" spans="4:4" x14ac:dyDescent="0.25">
      <c r="D154" s="13">
        <v>0</v>
      </c>
    </row>
    <row r="155" spans="4:4" x14ac:dyDescent="0.25">
      <c r="D155" s="13">
        <v>0</v>
      </c>
    </row>
    <row r="156" spans="4:4" x14ac:dyDescent="0.25">
      <c r="D156" s="13">
        <v>0</v>
      </c>
    </row>
    <row r="157" spans="4:4" x14ac:dyDescent="0.25">
      <c r="D157" s="13">
        <v>0</v>
      </c>
    </row>
    <row r="158" spans="4:4" x14ac:dyDescent="0.25">
      <c r="D158" s="13">
        <v>0</v>
      </c>
    </row>
    <row r="159" spans="4:4" x14ac:dyDescent="0.25">
      <c r="D159" s="13">
        <v>0</v>
      </c>
    </row>
    <row r="160" spans="4:4" x14ac:dyDescent="0.25">
      <c r="D160" s="13">
        <v>0</v>
      </c>
    </row>
    <row r="161" spans="4:4" x14ac:dyDescent="0.25">
      <c r="D161" s="13">
        <v>0</v>
      </c>
    </row>
    <row r="162" spans="4:4" x14ac:dyDescent="0.25">
      <c r="D162" s="13">
        <v>0</v>
      </c>
    </row>
    <row r="163" spans="4:4" x14ac:dyDescent="0.25">
      <c r="D163" s="13">
        <v>0</v>
      </c>
    </row>
    <row r="164" spans="4:4" x14ac:dyDescent="0.25">
      <c r="D164" s="13">
        <v>0</v>
      </c>
    </row>
    <row r="165" spans="4:4" x14ac:dyDescent="0.25">
      <c r="D165" s="13">
        <v>0</v>
      </c>
    </row>
    <row r="166" spans="4:4" x14ac:dyDescent="0.25">
      <c r="D166" s="13">
        <v>0</v>
      </c>
    </row>
    <row r="167" spans="4:4" x14ac:dyDescent="0.25">
      <c r="D167" s="13">
        <v>0</v>
      </c>
    </row>
    <row r="168" spans="4:4" x14ac:dyDescent="0.25">
      <c r="D168" s="13">
        <v>0</v>
      </c>
    </row>
    <row r="169" spans="4:4" x14ac:dyDescent="0.25">
      <c r="D169" s="13">
        <v>0</v>
      </c>
    </row>
    <row r="170" spans="4:4" x14ac:dyDescent="0.25">
      <c r="D170" s="13">
        <v>0</v>
      </c>
    </row>
    <row r="171" spans="4:4" x14ac:dyDescent="0.25">
      <c r="D171" s="13">
        <v>0</v>
      </c>
    </row>
    <row r="172" spans="4:4" x14ac:dyDescent="0.25">
      <c r="D172" s="13">
        <v>0</v>
      </c>
    </row>
    <row r="173" spans="4:4" x14ac:dyDescent="0.25">
      <c r="D173" s="13">
        <v>0</v>
      </c>
    </row>
    <row r="174" spans="4:4" x14ac:dyDescent="0.25">
      <c r="D174" s="13">
        <v>0</v>
      </c>
    </row>
    <row r="175" spans="4:4" x14ac:dyDescent="0.25">
      <c r="D175" s="13">
        <v>0</v>
      </c>
    </row>
    <row r="176" spans="4:4" x14ac:dyDescent="0.25">
      <c r="D176" s="13">
        <v>0</v>
      </c>
    </row>
    <row r="177" spans="4:4" x14ac:dyDescent="0.25">
      <c r="D177" s="13">
        <v>0</v>
      </c>
    </row>
    <row r="178" spans="4:4" x14ac:dyDescent="0.25">
      <c r="D178" s="13">
        <v>0</v>
      </c>
    </row>
    <row r="179" spans="4:4" x14ac:dyDescent="0.25">
      <c r="D179" s="13">
        <v>0</v>
      </c>
    </row>
    <row r="180" spans="4:4" x14ac:dyDescent="0.25">
      <c r="D180" s="13">
        <v>0</v>
      </c>
    </row>
    <row r="181" spans="4:4" x14ac:dyDescent="0.25">
      <c r="D181" s="13">
        <v>0</v>
      </c>
    </row>
    <row r="182" spans="4:4" x14ac:dyDescent="0.25">
      <c r="D182" s="13">
        <v>0</v>
      </c>
    </row>
    <row r="183" spans="4:4" x14ac:dyDescent="0.25">
      <c r="D183" s="13">
        <v>0</v>
      </c>
    </row>
    <row r="184" spans="4:4" x14ac:dyDescent="0.25">
      <c r="D184" s="13">
        <v>0</v>
      </c>
    </row>
    <row r="185" spans="4:4" x14ac:dyDescent="0.25">
      <c r="D185" s="13">
        <v>0</v>
      </c>
    </row>
    <row r="186" spans="4:4" x14ac:dyDescent="0.25">
      <c r="D186" s="13">
        <v>0</v>
      </c>
    </row>
    <row r="187" spans="4:4" x14ac:dyDescent="0.25">
      <c r="D187" s="13">
        <v>0</v>
      </c>
    </row>
    <row r="188" spans="4:4" x14ac:dyDescent="0.25">
      <c r="D188" s="13">
        <v>0</v>
      </c>
    </row>
    <row r="189" spans="4:4" x14ac:dyDescent="0.25">
      <c r="D189" s="13">
        <v>0</v>
      </c>
    </row>
    <row r="190" spans="4:4" x14ac:dyDescent="0.25">
      <c r="D190" s="13">
        <v>0</v>
      </c>
    </row>
    <row r="191" spans="4:4" x14ac:dyDescent="0.25">
      <c r="D191" s="13">
        <v>0</v>
      </c>
    </row>
    <row r="192" spans="4:4" x14ac:dyDescent="0.25">
      <c r="D192" s="13">
        <v>0</v>
      </c>
    </row>
    <row r="193" spans="4:4" x14ac:dyDescent="0.25">
      <c r="D193" s="13">
        <v>0</v>
      </c>
    </row>
    <row r="194" spans="4:4" x14ac:dyDescent="0.25">
      <c r="D194" s="13">
        <v>0</v>
      </c>
    </row>
    <row r="195" spans="4:4" x14ac:dyDescent="0.25">
      <c r="D195" s="13">
        <v>0</v>
      </c>
    </row>
    <row r="196" spans="4:4" x14ac:dyDescent="0.25">
      <c r="D196" s="13">
        <v>0</v>
      </c>
    </row>
    <row r="197" spans="4:4" x14ac:dyDescent="0.25">
      <c r="D197" s="13">
        <v>0</v>
      </c>
    </row>
    <row r="198" spans="4:4" x14ac:dyDescent="0.25">
      <c r="D198" s="13">
        <v>0</v>
      </c>
    </row>
    <row r="199" spans="4:4" x14ac:dyDescent="0.25">
      <c r="D199" s="13">
        <v>0</v>
      </c>
    </row>
  </sheetData>
  <sortState ref="A2:D199">
    <sortCondition descending="1"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7"/>
  <sheetViews>
    <sheetView workbookViewId="0">
      <selection sqref="A1:M3"/>
    </sheetView>
  </sheetViews>
  <sheetFormatPr defaultRowHeight="15" x14ac:dyDescent="0.25"/>
  <cols>
    <col min="1" max="1" width="9.140625" customWidth="1"/>
    <col min="2" max="2" width="5.140625" bestFit="1" customWidth="1"/>
    <col min="3" max="3" width="9.140625" customWidth="1"/>
    <col min="4" max="4" width="23.85546875" bestFit="1" customWidth="1"/>
    <col min="5" max="5" width="10.140625" bestFit="1" customWidth="1"/>
    <col min="6" max="6" width="9.140625" customWidth="1"/>
    <col min="10" max="10" width="9.42578125" customWidth="1"/>
    <col min="13" max="13" width="9.42578125" style="13" bestFit="1" customWidth="1"/>
  </cols>
  <sheetData>
    <row r="1" spans="1:13" x14ac:dyDescent="0.25">
      <c r="A1" t="s">
        <v>47</v>
      </c>
      <c r="B1" t="s">
        <v>1</v>
      </c>
      <c r="C1" t="s">
        <v>33</v>
      </c>
      <c r="D1" t="s">
        <v>91</v>
      </c>
      <c r="E1" s="8" t="s">
        <v>34</v>
      </c>
      <c r="F1" s="8"/>
      <c r="G1" s="13" t="s">
        <v>52</v>
      </c>
      <c r="H1" s="13" t="s">
        <v>53</v>
      </c>
      <c r="I1" s="13" t="s">
        <v>54</v>
      </c>
      <c r="J1" s="13" t="s">
        <v>51</v>
      </c>
      <c r="K1" s="12"/>
    </row>
    <row r="2" spans="1:13" x14ac:dyDescent="0.25">
      <c r="A2">
        <v>12</v>
      </c>
      <c r="B2" t="s">
        <v>23</v>
      </c>
      <c r="C2" t="s">
        <v>48</v>
      </c>
      <c r="D2" t="s">
        <v>43</v>
      </c>
      <c r="E2" s="8">
        <v>44391</v>
      </c>
      <c r="F2" s="8"/>
      <c r="G2" s="13" t="s">
        <v>4</v>
      </c>
      <c r="H2" s="13" t="s">
        <v>17</v>
      </c>
      <c r="I2" s="13" t="s">
        <v>16</v>
      </c>
      <c r="J2" s="13">
        <v>30</v>
      </c>
      <c r="K2" s="12"/>
    </row>
    <row r="3" spans="1:13" x14ac:dyDescent="0.25">
      <c r="A3">
        <v>26</v>
      </c>
      <c r="B3" t="s">
        <v>82</v>
      </c>
      <c r="C3" t="s">
        <v>48</v>
      </c>
      <c r="D3" t="s">
        <v>43</v>
      </c>
      <c r="E3" s="8">
        <v>44503</v>
      </c>
      <c r="F3" s="8"/>
      <c r="G3" s="13" t="s">
        <v>14</v>
      </c>
      <c r="H3" s="13" t="s">
        <v>15</v>
      </c>
      <c r="I3" s="13" t="s">
        <v>16</v>
      </c>
      <c r="J3" s="13">
        <v>20</v>
      </c>
      <c r="K3" s="12"/>
    </row>
    <row r="4" spans="1:13" x14ac:dyDescent="0.25">
      <c r="M4"/>
    </row>
    <row r="5" spans="1:13" x14ac:dyDescent="0.25">
      <c r="M5"/>
    </row>
    <row r="6" spans="1:13" x14ac:dyDescent="0.25">
      <c r="M6"/>
    </row>
    <row r="7" spans="1:13" x14ac:dyDescent="0.25">
      <c r="M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start_page</vt:lpstr>
      <vt:lpstr>box_tracking</vt:lpstr>
      <vt:lpstr>box_price</vt:lpstr>
      <vt:lpstr>customer</vt:lpstr>
      <vt:lpstr>report</vt:lpstr>
      <vt:lpstr>box_search_display</vt:lpstr>
      <vt:lpstr>ranking_disp</vt:lpstr>
      <vt:lpstr>Customer_display</vt:lpstr>
    </vt:vector>
  </TitlesOfParts>
  <Company>Centrale Nantes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Yusuf Olalekan Kamorudeen</dc:creator>
  <cp:lastModifiedBy>User</cp:lastModifiedBy>
  <dcterms:created xsi:type="dcterms:W3CDTF">2021-11-15T14:59:53Z</dcterms:created>
  <dcterms:modified xsi:type="dcterms:W3CDTF">2022-01-05T12:13:27Z</dcterms:modified>
</cp:coreProperties>
</file>